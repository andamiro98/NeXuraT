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프로젝트\'00_NeXura Proejct\2.NeXura T\03.프로젝트 수행 중\'260311_Data 설계\"/>
    </mc:Choice>
  </mc:AlternateContent>
  <xr:revisionPtr revIDLastSave="0" documentId="13_ncr:1_{32FA66C9-A928-4A9C-9E5D-4A4EFA6F4F49}" xr6:coauthVersionLast="47" xr6:coauthVersionMax="47" xr10:uidLastSave="{00000000-0000-0000-0000-000000000000}"/>
  <bookViews>
    <workbookView xWindow="-120" yWindow="-120" windowWidth="51840" windowHeight="21120" xr2:uid="{83C0F22B-62CE-4C43-9E91-7B7556798DDD}"/>
  </bookViews>
  <sheets>
    <sheet name="설계 BIM Data" sheetId="7" r:id="rId1"/>
  </sheets>
  <definedNames>
    <definedName name="_xlnm._FilterDatabase" localSheetId="0" hidden="1">'설계 BIM Data'!$A$8:$AJ$184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7" l="1"/>
  <c r="Q155" i="7"/>
  <c r="Q154" i="7" s="1"/>
  <c r="Q119" i="7" s="1"/>
  <c r="Q104" i="7"/>
  <c r="Q28" i="7"/>
  <c r="Q17" i="7"/>
  <c r="Q13" i="7"/>
  <c r="P155" i="7"/>
  <c r="P154" i="7" s="1"/>
  <c r="P119" i="7" s="1"/>
  <c r="P104" i="7"/>
  <c r="P28" i="7"/>
  <c r="P27" i="7" s="1"/>
  <c r="P13" i="7"/>
  <c r="P20" i="7" l="1"/>
  <c r="P12" i="7" s="1"/>
  <c r="R13" i="7"/>
  <c r="R17" i="7"/>
  <c r="Q103" i="7"/>
  <c r="R155" i="7"/>
  <c r="R104" i="7"/>
  <c r="R28" i="7"/>
  <c r="R119" i="7"/>
  <c r="R154" i="7"/>
  <c r="P103" i="7"/>
  <c r="Q27" i="7"/>
  <c r="P11" i="7" l="1"/>
  <c r="P10" i="7" s="1"/>
  <c r="P9" i="7" s="1"/>
  <c r="P8" i="7" s="1"/>
  <c r="Q20" i="7"/>
  <c r="R27" i="7"/>
  <c r="R103" i="7"/>
  <c r="Q12" i="7" l="1"/>
  <c r="R20" i="7"/>
  <c r="Q11" i="7" l="1"/>
  <c r="R12" i="7"/>
  <c r="Q10" i="7" l="1"/>
  <c r="R11" i="7"/>
  <c r="Q9" i="7" l="1"/>
  <c r="R10" i="7"/>
  <c r="Q8" i="7" l="1"/>
  <c r="R8" i="7" s="1"/>
  <c r="R9" i="7"/>
</calcChain>
</file>

<file path=xl/sharedStrings.xml><?xml version="1.0" encoding="utf-8"?>
<sst xmlns="http://schemas.openxmlformats.org/spreadsheetml/2006/main" count="1474" uniqueCount="438">
  <si>
    <t>WBS Code</t>
    <phoneticPr fontId="1" type="noConversion"/>
  </si>
  <si>
    <t>수량</t>
    <phoneticPr fontId="1" type="noConversion"/>
  </si>
  <si>
    <t>선행작업</t>
    <phoneticPr fontId="1" type="noConversion"/>
  </si>
  <si>
    <t>후행작업</t>
    <phoneticPr fontId="1" type="noConversion"/>
  </si>
  <si>
    <t>합    계</t>
  </si>
  <si>
    <t>재 료 비</t>
  </si>
  <si>
    <t>노 무 비</t>
  </si>
  <si>
    <t>경    비</t>
  </si>
  <si>
    <t>단 가</t>
  </si>
  <si>
    <t>금 액</t>
  </si>
  <si>
    <t/>
  </si>
  <si>
    <t>'  (C)단지조성</t>
  </si>
  <si>
    <t>'    (09)교량시설</t>
  </si>
  <si>
    <t>양호</t>
  </si>
  <si>
    <t>m3</t>
  </si>
  <si>
    <t>No.39</t>
  </si>
  <si>
    <t>90도</t>
  </si>
  <si>
    <t>식</t>
  </si>
  <si>
    <t>#.467</t>
  </si>
  <si>
    <t>백호+플레이트콤팩트1.5ton</t>
  </si>
  <si>
    <t>#.30</t>
  </si>
  <si>
    <t>경사형,3개월이하</t>
  </si>
  <si>
    <t>㎥</t>
  </si>
  <si>
    <t>No.13</t>
  </si>
  <si>
    <t>-</t>
  </si>
  <si>
    <t>No.12</t>
  </si>
  <si>
    <t>대형장비</t>
  </si>
  <si>
    <t>hr</t>
  </si>
  <si>
    <t>No.45</t>
  </si>
  <si>
    <t>D600mm</t>
  </si>
  <si>
    <t>개소</t>
  </si>
  <si>
    <t>No.122</t>
  </si>
  <si>
    <t>D609㎜×12t</t>
  </si>
  <si>
    <t>회</t>
  </si>
  <si>
    <t>#.47</t>
  </si>
  <si>
    <t>D609mm, T=12mm</t>
  </si>
  <si>
    <t>m</t>
  </si>
  <si>
    <t>MXU195620000</t>
  </si>
  <si>
    <t>동재하시험, D609</t>
  </si>
  <si>
    <t>GBGB010001019</t>
  </si>
  <si>
    <t>정재하시험, D609</t>
  </si>
  <si>
    <t>본</t>
  </si>
  <si>
    <t>GBGB010001018</t>
  </si>
  <si>
    <t>D609, T=12mm</t>
  </si>
  <si>
    <t>M</t>
  </si>
  <si>
    <t>GXGBR1012100</t>
  </si>
  <si>
    <t>D609mm, L=21.400m/본-차도교2_종점</t>
  </si>
  <si>
    <t>#.398</t>
  </si>
  <si>
    <t>D609mm, L=23.600m/본-차도교2_시점</t>
  </si>
  <si>
    <t>#.407</t>
  </si>
  <si>
    <t>외부 반출/반입</t>
  </si>
  <si>
    <t>#.396</t>
  </si>
  <si>
    <t>작업구간내 이동</t>
  </si>
  <si>
    <t>#.397</t>
  </si>
  <si>
    <t>25-18-80</t>
  </si>
  <si>
    <t>m³</t>
  </si>
  <si>
    <t>MXG2B23771802</t>
  </si>
  <si>
    <t>25-27-150</t>
  </si>
  <si>
    <t>MXG2B23771819</t>
  </si>
  <si>
    <t>용접부의 비파괴검사</t>
  </si>
  <si>
    <t>GBGB010001085</t>
  </si>
  <si>
    <t>20KM까지</t>
  </si>
  <si>
    <t>포</t>
  </si>
  <si>
    <t>GBGC001000020</t>
  </si>
  <si>
    <t>(보통인부/250포)</t>
  </si>
  <si>
    <t>GBGZ000001003</t>
  </si>
  <si>
    <t>40KG</t>
  </si>
  <si>
    <t>MGG030000001</t>
  </si>
  <si>
    <t>간단, 7m이하</t>
  </si>
  <si>
    <t>m2</t>
  </si>
  <si>
    <t>No.63</t>
  </si>
  <si>
    <t>보통, 7m이하</t>
  </si>
  <si>
    <t>No.64</t>
  </si>
  <si>
    <t>보통(S15, 150m3)</t>
  </si>
  <si>
    <t>No.54</t>
  </si>
  <si>
    <t>No.172</t>
  </si>
  <si>
    <t>무근콘크리트</t>
  </si>
  <si>
    <t>No.52</t>
  </si>
  <si>
    <t>잡석지정</t>
  </si>
  <si>
    <t>No.196</t>
  </si>
  <si>
    <t>25-24-150</t>
  </si>
  <si>
    <t>MXG2B23771814</t>
  </si>
  <si>
    <t>25-35-150</t>
  </si>
  <si>
    <t>MXG2B23771827</t>
  </si>
  <si>
    <t>합판4회/보통+문양거푸집(코팅송판)1회</t>
  </si>
  <si>
    <t>No.541</t>
  </si>
  <si>
    <t>H=1.4m,W=2.0m, 날개벽난간</t>
  </si>
  <si>
    <t>MXG2B24520013</t>
  </si>
  <si>
    <t>20×10㎜</t>
  </si>
  <si>
    <t>No.235</t>
  </si>
  <si>
    <t>벽체용</t>
  </si>
  <si>
    <t>ton</t>
  </si>
  <si>
    <t>#.38</t>
  </si>
  <si>
    <t>슬라브 및 기초</t>
  </si>
  <si>
    <t>#.37</t>
  </si>
  <si>
    <t>3개월, 10m 이하</t>
  </si>
  <si>
    <t>공m3</t>
  </si>
  <si>
    <t>#.376</t>
  </si>
  <si>
    <t>5m초과~10m이하,설치간격 0.6m이하</t>
  </si>
  <si>
    <t>No.18</t>
  </si>
  <si>
    <t>10m 이하(3개월)</t>
  </si>
  <si>
    <t>No.154</t>
  </si>
  <si>
    <t>복잡, 7m이하</t>
  </si>
  <si>
    <t>No.65</t>
  </si>
  <si>
    <t>현장도착도</t>
  </si>
  <si>
    <t>MXBCB0248100</t>
  </si>
  <si>
    <t>T=20mm</t>
  </si>
  <si>
    <t>#.36</t>
  </si>
  <si>
    <t>소형장비</t>
  </si>
  <si>
    <t>No.69</t>
  </si>
  <si>
    <t>MXBCB0248000</t>
  </si>
  <si>
    <t>No.544</t>
  </si>
  <si>
    <t>접속슬라브 (D25×L600)</t>
  </si>
  <si>
    <t>#.31</t>
  </si>
  <si>
    <t>T=5mm</t>
  </si>
  <si>
    <t>m²</t>
  </si>
  <si>
    <t>#.35</t>
  </si>
  <si>
    <t>철(중량)</t>
  </si>
  <si>
    <t>t</t>
  </si>
  <si>
    <t>MGM060000105</t>
  </si>
  <si>
    <t>H-13</t>
  </si>
  <si>
    <t>MGA020001113</t>
  </si>
  <si>
    <t>H-16</t>
  </si>
  <si>
    <t>MGA020001116</t>
  </si>
  <si>
    <t>H-19</t>
  </si>
  <si>
    <t>MGA020001119</t>
  </si>
  <si>
    <t>H-22</t>
  </si>
  <si>
    <t>MGA020001122</t>
  </si>
  <si>
    <t>H-25</t>
  </si>
  <si>
    <t>MGA020001125</t>
  </si>
  <si>
    <t>GBGZ000005000</t>
  </si>
  <si>
    <t>TYPE-1</t>
  </si>
  <si>
    <t>No.66</t>
  </si>
  <si>
    <t>TYPE-2</t>
  </si>
  <si>
    <t>No.67</t>
  </si>
  <si>
    <t>15ton, 30km까지</t>
  </si>
  <si>
    <t>No.896</t>
  </si>
  <si>
    <t>L=35.82m, H=1.05m</t>
  </si>
  <si>
    <t>No.477</t>
  </si>
  <si>
    <t>No.476</t>
  </si>
  <si>
    <t>No.535</t>
  </si>
  <si>
    <t>콘크리트 가로보, 중앙부용, 3개월</t>
  </si>
  <si>
    <t>#.218</t>
  </si>
  <si>
    <t>데크피니셔</t>
  </si>
  <si>
    <t>#.44</t>
  </si>
  <si>
    <t>피막양생</t>
  </si>
  <si>
    <t>#.43</t>
  </si>
  <si>
    <t>200m2이상</t>
  </si>
  <si>
    <t>No.141</t>
  </si>
  <si>
    <t>25-21-80</t>
  </si>
  <si>
    <t>MXG2B23771807</t>
  </si>
  <si>
    <t>4회</t>
  </si>
  <si>
    <t>#.41</t>
  </si>
  <si>
    <t>DECK FINISHER용</t>
  </si>
  <si>
    <t>#.42</t>
  </si>
  <si>
    <t>H=1.4m,W=2.0m</t>
  </si>
  <si>
    <t>MXG2B23272346</t>
  </si>
  <si>
    <t>SB-1, 현장도착도</t>
  </si>
  <si>
    <t>MXBCB0248500</t>
  </si>
  <si>
    <t>보도부, 2m≤시공폭&lt;3m/1층 포설두께 5∼7㎝</t>
  </si>
  <si>
    <t>No.125</t>
  </si>
  <si>
    <t>T=8cm, 시공폭 3m이상</t>
  </si>
  <si>
    <t>No.617</t>
  </si>
  <si>
    <t>2회</t>
  </si>
  <si>
    <t>No.140</t>
  </si>
  <si>
    <t>WC-1, 가열, 1등급</t>
  </si>
  <si>
    <t>MXG2B23734483</t>
  </si>
  <si>
    <t>P.V.C (D100MM)</t>
  </si>
  <si>
    <t>No.533</t>
  </si>
  <si>
    <t>H=0.85m,W=2.0m</t>
  </si>
  <si>
    <t>MXG2B24756922</t>
  </si>
  <si>
    <t>H=0.315m,W=2.0m</t>
  </si>
  <si>
    <t>MXG2B23735084</t>
  </si>
  <si>
    <t>RSC-4, 45L/a</t>
  </si>
  <si>
    <t>#.40</t>
  </si>
  <si>
    <t>복잡</t>
  </si>
  <si>
    <t>No.62</t>
  </si>
  <si>
    <t>150A</t>
  </si>
  <si>
    <t>개</t>
  </si>
  <si>
    <t>No.559</t>
  </si>
  <si>
    <t>200A</t>
  </si>
  <si>
    <t>No.560</t>
  </si>
  <si>
    <t>No.556</t>
  </si>
  <si>
    <t>No.557</t>
  </si>
  <si>
    <t>BAND</t>
  </si>
  <si>
    <t>No.566</t>
  </si>
  <si>
    <t>HANGER</t>
  </si>
  <si>
    <t>No.565</t>
  </si>
  <si>
    <t>No.562</t>
  </si>
  <si>
    <t>No.563</t>
  </si>
  <si>
    <t>D=10mm</t>
  </si>
  <si>
    <t>No.765</t>
  </si>
  <si>
    <t>No.553</t>
  </si>
  <si>
    <t>No.554</t>
  </si>
  <si>
    <t>250x250 (TYPE-1)</t>
  </si>
  <si>
    <t>No.552</t>
  </si>
  <si>
    <t>교명판, 설명판 포함</t>
  </si>
  <si>
    <t>GXBRSE1300050</t>
  </si>
  <si>
    <t>황동주물</t>
  </si>
  <si>
    <t>EA</t>
  </si>
  <si>
    <t>#.45</t>
  </si>
  <si>
    <t>T=150mm</t>
  </si>
  <si>
    <t>㎡</t>
  </si>
  <si>
    <t>#.195</t>
  </si>
  <si>
    <t>No.194</t>
  </si>
  <si>
    <t>4×50m</t>
  </si>
  <si>
    <t>MXZ400001000</t>
  </si>
  <si>
    <t>강관(3개월이하)</t>
  </si>
  <si>
    <t>No.1</t>
  </si>
  <si>
    <t>20×25㎜</t>
  </si>
  <si>
    <t>#.287</t>
  </si>
  <si>
    <t>D100 MM(VG2)</t>
  </si>
  <si>
    <t>옹벽뒷채움배수용</t>
  </si>
  <si>
    <t>No.230</t>
  </si>
  <si>
    <t>No.231</t>
  </si>
  <si>
    <t>탈부착형 -고리형, 조류방지망</t>
  </si>
  <si>
    <t>No.568</t>
  </si>
  <si>
    <t>수축줄눈</t>
  </si>
  <si>
    <t>#.361</t>
  </si>
  <si>
    <t>'      (09A1)콘크리트교</t>
  </si>
  <si>
    <t>'        (0002)2</t>
  </si>
  <si>
    <t>'          (I1)교량토공</t>
  </si>
  <si>
    <t>'            (I1)교량토공</t>
  </si>
  <si>
    <t>'              (0103)토사</t>
  </si>
  <si>
    <t>'                기계터파기/보통토사/5m초과/용수</t>
  </si>
  <si>
    <t>'                터파기(토사/용수)</t>
  </si>
  <si>
    <t>'            (I2)교량토공-되메우기</t>
  </si>
  <si>
    <t>'              (1059)토사(다짐95%)</t>
  </si>
  <si>
    <t>'                되메우기,토사</t>
  </si>
  <si>
    <t>'            (I4)교량토공-기타</t>
  </si>
  <si>
    <t>'              (0081)가설공사기타</t>
  </si>
  <si>
    <t>'                가설계단</t>
  </si>
  <si>
    <t>'              (0147)물푸기</t>
  </si>
  <si>
    <t>'                물푸기</t>
  </si>
  <si>
    <t>'              (0601)구조물되메우기(다짐)</t>
  </si>
  <si>
    <t>'                뒷채움 및 다짐</t>
  </si>
  <si>
    <t>'          (I2)교량하부공</t>
  </si>
  <si>
    <t>'            (I5)교량하부공-교대N</t>
  </si>
  <si>
    <t>'              (0904)교대기초</t>
  </si>
  <si>
    <t>'                강관말뚝 두부정리</t>
  </si>
  <si>
    <t>'                강관말뚝 이음</t>
  </si>
  <si>
    <t>'                강관말뚝 자재비</t>
  </si>
  <si>
    <t>'                강관말뚝 재하시험</t>
  </si>
  <si>
    <t>'                강관말뚝두부보강</t>
  </si>
  <si>
    <t>'                강관말뚝박기</t>
  </si>
  <si>
    <t>'                강관말뚝박기장비조립및해체</t>
  </si>
  <si>
    <t>'                레미콘</t>
  </si>
  <si>
    <t>'                말뚝(강관말뚝)</t>
  </si>
  <si>
    <t>'                시멘트 수송비</t>
  </si>
  <si>
    <t>'                시멘트 하차 입고비</t>
  </si>
  <si>
    <t>'                시멘트(운반구상차도)</t>
  </si>
  <si>
    <t>'                유로폼</t>
  </si>
  <si>
    <t>'                철근콘크리트타설/펌프카</t>
  </si>
  <si>
    <t>'                콘크리트면양생비</t>
  </si>
  <si>
    <t>'                콘크리트타설/장비사용</t>
  </si>
  <si>
    <t>'              (0905)교대벽체</t>
  </si>
  <si>
    <t>'                기초지정</t>
  </si>
  <si>
    <t>'                문양거푸집</t>
  </si>
  <si>
    <t>'                보도용난간(현장설치도)</t>
  </si>
  <si>
    <t>'                수팽창고무지수재 설치</t>
  </si>
  <si>
    <t>'                스페이셔</t>
  </si>
  <si>
    <t>'                시스템동바리 사용료</t>
  </si>
  <si>
    <t>'                시스템동바리</t>
  </si>
  <si>
    <t>'                시스템비계매기</t>
  </si>
  <si>
    <t>'                잡석</t>
  </si>
  <si>
    <t>'                조인트/스티로폼</t>
  </si>
  <si>
    <t>'                콘크리트 치핑</t>
  </si>
  <si>
    <t>'              (0906)교좌장치</t>
  </si>
  <si>
    <t>'                모래</t>
  </si>
  <si>
    <t>'                무수축모르터(1:1)</t>
  </si>
  <si>
    <t>'              (0907)접속슬래브</t>
  </si>
  <si>
    <t>'                다웰바 설치</t>
  </si>
  <si>
    <t>'              (0908)교대기타</t>
  </si>
  <si>
    <t>'              (0954)철근가공조립/공장가공</t>
  </si>
  <si>
    <t>'                고 자 재</t>
  </si>
  <si>
    <t>'                이형봉강(SD400, 현장도착도)</t>
  </si>
  <si>
    <t>'                인력 하역료</t>
  </si>
  <si>
    <t>'                철근가공조립/공장가공</t>
  </si>
  <si>
    <t>'                철근운반(가공장→현장)</t>
  </si>
  <si>
    <t>'          (I3)교량상부공</t>
  </si>
  <si>
    <t>'            (I8)교량상부공-거더N</t>
  </si>
  <si>
    <t>'              (0915)거더제작</t>
  </si>
  <si>
    <t>'                거더설치</t>
  </si>
  <si>
    <t>'                거더제작</t>
  </si>
  <si>
    <t>'            (I9)교량상부공-슬래브N</t>
  </si>
  <si>
    <t>'              (0918)슬래브</t>
  </si>
  <si>
    <t>'                NOTCH설치</t>
  </si>
  <si>
    <t>'                가로보 작업발판</t>
  </si>
  <si>
    <t>'                교량표면처리/슬라브면고르기</t>
  </si>
  <si>
    <t>'                교량표면처리/슬라브양생</t>
  </si>
  <si>
    <t>'                교면방수/도막방수</t>
  </si>
  <si>
    <t>'                목재 동바리</t>
  </si>
  <si>
    <t>'                보조기층재</t>
  </si>
  <si>
    <t>'                아스콘포장/표층/기계포설(대형장비)</t>
  </si>
  <si>
    <t>'                아스팔트 표층 포설 및 다짐(대형장비)</t>
  </si>
  <si>
    <t>'                아스팔트코팅</t>
  </si>
  <si>
    <t>'                아스팔트콘크리트</t>
  </si>
  <si>
    <t>'                전선관 설치</t>
  </si>
  <si>
    <t>'                차량방호울타리(현장설치도)</t>
  </si>
  <si>
    <t>'                차량방호책 상부보조레일 (현장설치도)</t>
  </si>
  <si>
    <t>'                택코팅(재료비포함)</t>
  </si>
  <si>
    <t>'                합판거푸집</t>
  </si>
  <si>
    <t>'          (I5)교량부대공</t>
  </si>
  <si>
    <t>'            (IL)교량부대공-교량부대</t>
  </si>
  <si>
    <t>'              (0945)배수시설</t>
  </si>
  <si>
    <t>'                곡관(TEE)</t>
  </si>
  <si>
    <t>'                곡관ELBOW (90도)</t>
  </si>
  <si>
    <t>'                연결부(일반형)</t>
  </si>
  <si>
    <t>'                연결부(청소용)</t>
  </si>
  <si>
    <t>'                유공관설치</t>
  </si>
  <si>
    <t>'                직관(PIPE)</t>
  </si>
  <si>
    <t>'                집수구(청소용)</t>
  </si>
  <si>
    <t>'              (0946)교명판및설명판</t>
  </si>
  <si>
    <t>'                교명주</t>
  </si>
  <si>
    <t>'              (0947)측량기준점설치</t>
  </si>
  <si>
    <t>'                측량 기준점 설치</t>
  </si>
  <si>
    <t>'              (0952)가도및축도</t>
  </si>
  <si>
    <t>'                잡석부설 및 다짐</t>
  </si>
  <si>
    <t>'                조립장 부지정지</t>
  </si>
  <si>
    <t>'              (0953)교량부대기타</t>
  </si>
  <si>
    <t>'                낙하물방지망</t>
  </si>
  <si>
    <t>'                낙하물방지망설치 및 해체</t>
  </si>
  <si>
    <t>'                실런트충진</t>
  </si>
  <si>
    <t>'                오배수PVC 배관</t>
  </si>
  <si>
    <t>'                옹벽배수처리 (드레인보드)</t>
  </si>
  <si>
    <t>'                옹벽배수처리 (토목섬유)</t>
  </si>
  <si>
    <t>'                조류방지시설물설치</t>
  </si>
  <si>
    <t>'                줄눈설치</t>
  </si>
  <si>
    <t>계획</t>
    <phoneticPr fontId="1" type="noConversion"/>
  </si>
  <si>
    <t>진척률</t>
    <phoneticPr fontId="1" type="noConversion"/>
  </si>
  <si>
    <t>C</t>
  </si>
  <si>
    <t>C09</t>
  </si>
  <si>
    <t>C0909A1</t>
  </si>
  <si>
    <t>C0909A10002</t>
  </si>
  <si>
    <t>C0909A10002I1</t>
  </si>
  <si>
    <t>C0909A10002I1I1</t>
  </si>
  <si>
    <t>C0909A10002I1I10103</t>
  </si>
  <si>
    <t>C0909A10002I1I21059</t>
  </si>
  <si>
    <t>C0909A10002I1I40081</t>
  </si>
  <si>
    <t>C0909A10002I1I40147</t>
  </si>
  <si>
    <t>C0909A10002I1I40601</t>
  </si>
  <si>
    <t>C0909A10002I2I50904</t>
  </si>
  <si>
    <t>C0909A10002I2I50906</t>
  </si>
  <si>
    <t>C0909A10002I2I50907</t>
  </si>
  <si>
    <t>C0909A10002I2I50908</t>
  </si>
  <si>
    <t>C0909A10002I3I80954</t>
  </si>
  <si>
    <t>C0909A10002I3I90954</t>
  </si>
  <si>
    <t>C0909A10002I3I90918</t>
  </si>
  <si>
    <t>C0909A10002I5IL0946</t>
  </si>
  <si>
    <t>C0909A10002I5IL0952</t>
  </si>
  <si>
    <t>착수일</t>
    <phoneticPr fontId="1" type="noConversion"/>
  </si>
  <si>
    <t>종료일</t>
    <phoneticPr fontId="1" type="noConversion"/>
  </si>
  <si>
    <t>상태</t>
    <phoneticPr fontId="1" type="noConversion"/>
  </si>
  <si>
    <t>작업관계</t>
    <phoneticPr fontId="1" type="noConversion"/>
  </si>
  <si>
    <t>FS</t>
    <phoneticPr fontId="1" type="noConversion"/>
  </si>
  <si>
    <t>관계유형</t>
    <phoneticPr fontId="1" type="noConversion"/>
  </si>
  <si>
    <t>공 종 명</t>
  </si>
  <si>
    <t>규 격</t>
  </si>
  <si>
    <t>단위</t>
  </si>
  <si>
    <t>비고</t>
  </si>
  <si>
    <t>C0909A10002I1I10103U</t>
  </si>
  <si>
    <t>C0909A10002I1I21059U</t>
  </si>
  <si>
    <t>C0909A10002I1I40081U</t>
  </si>
  <si>
    <t>C0909A10002I1I40147U</t>
  </si>
  <si>
    <t>C0909A10002I1I40601U</t>
  </si>
  <si>
    <t>C0909A10002I2I50904U</t>
  </si>
  <si>
    <t>C0909A10002I2I50904M</t>
  </si>
  <si>
    <t>C0909A10002I2I50905U</t>
  </si>
  <si>
    <t>C0909A10002I2I50905M</t>
  </si>
  <si>
    <t>C0909A10002I2I50906M</t>
  </si>
  <si>
    <t>C0909A10002I2I50907U</t>
  </si>
  <si>
    <t>C0909A10002I2I50907M</t>
  </si>
  <si>
    <t>C0909A10002I2I50908M</t>
  </si>
  <si>
    <t>C0909A10002I2I50908U</t>
  </si>
  <si>
    <t>C0909A10002I2I50954M</t>
  </si>
  <si>
    <t>C0909A10002I2I50954U</t>
  </si>
  <si>
    <t>C0909A10002I3I80915U</t>
  </si>
  <si>
    <t>C0909A10002I3I80915M</t>
  </si>
  <si>
    <t>C0909A10002I3I80954M</t>
  </si>
  <si>
    <t>C0909A10002I3I80954U</t>
  </si>
  <si>
    <t>C0909A10002I3I90918U</t>
  </si>
  <si>
    <t>C0909A10002I3I90918M</t>
  </si>
  <si>
    <t>C0909A10002I3I90954M</t>
  </si>
  <si>
    <t>C0909A10002I3I90954U</t>
  </si>
  <si>
    <t>C0909A10002I5IL0945M</t>
  </si>
  <si>
    <t>C0909A10002I5IL0946U</t>
  </si>
  <si>
    <t>C0909A10002I5IL0947U</t>
  </si>
  <si>
    <t>C0909A10002I5IL0952U</t>
  </si>
  <si>
    <t>C0909A10002I5IL0953M</t>
  </si>
  <si>
    <t>C0909A10002I5IL0953U</t>
  </si>
  <si>
    <r>
      <t xml:space="preserve">NeXura M DB 연동데이터 - </t>
    </r>
    <r>
      <rPr>
        <b/>
        <sz val="15"/>
        <color rgb="FFFF0000"/>
        <rFont val="맑은 고딕"/>
        <family val="3"/>
        <charset val="129"/>
        <scheme val="minor"/>
      </rPr>
      <t>수정 불가</t>
    </r>
    <phoneticPr fontId="1" type="noConversion"/>
  </si>
  <si>
    <t>설계 BIM 모델 Data</t>
    <phoneticPr fontId="1" type="noConversion"/>
  </si>
  <si>
    <t>공정률</t>
    <phoneticPr fontId="1" type="noConversion"/>
  </si>
  <si>
    <t>주공정(C.P)</t>
    <phoneticPr fontId="1" type="noConversion"/>
  </si>
  <si>
    <t>WBS Lv</t>
    <phoneticPr fontId="1" type="noConversion"/>
  </si>
  <si>
    <t>실제</t>
    <phoneticPr fontId="1" type="noConversion"/>
  </si>
  <si>
    <t>작업일정</t>
    <phoneticPr fontId="1" type="noConversion"/>
  </si>
  <si>
    <t>액티비티</t>
    <phoneticPr fontId="1" type="noConversion"/>
  </si>
  <si>
    <t>일정분석</t>
    <phoneticPr fontId="1" type="noConversion"/>
  </si>
  <si>
    <t>간격(Lag)</t>
    <phoneticPr fontId="1" type="noConversion"/>
  </si>
  <si>
    <t>빠른착수(ES)</t>
    <phoneticPr fontId="1" type="noConversion"/>
  </si>
  <si>
    <t>빠른종료(EF)</t>
    <phoneticPr fontId="1" type="noConversion"/>
  </si>
  <si>
    <t>늦은착수(LS)</t>
    <phoneticPr fontId="1" type="noConversion"/>
  </si>
  <si>
    <t>늦은종료(LF)</t>
    <phoneticPr fontId="1" type="noConversion"/>
  </si>
  <si>
    <t>총여유(TF)</t>
    <phoneticPr fontId="1" type="noConversion"/>
  </si>
  <si>
    <t>자유여유(FF)</t>
    <phoneticPr fontId="1" type="noConversion"/>
  </si>
  <si>
    <t>분석 데이터</t>
    <phoneticPr fontId="1" type="noConversion"/>
  </si>
  <si>
    <r>
      <t xml:space="preserve">NeXura T 입력 데이터 - </t>
    </r>
    <r>
      <rPr>
        <b/>
        <sz val="15"/>
        <color rgb="FFFF0000"/>
        <rFont val="맑은 고딕"/>
        <family val="3"/>
        <charset val="129"/>
        <scheme val="minor"/>
      </rPr>
      <t>사용자가 수정 가능 (입력값)</t>
    </r>
    <phoneticPr fontId="1" type="noConversion"/>
  </si>
  <si>
    <t>기간(일)</t>
    <phoneticPr fontId="1" type="noConversion"/>
  </si>
  <si>
    <t>내역</t>
  </si>
  <si>
    <r>
      <t xml:space="preserve">NeXura T 계산 데이터 - </t>
    </r>
    <r>
      <rPr>
        <b/>
        <sz val="15"/>
        <color rgb="FFFF0000"/>
        <rFont val="맑은 고딕"/>
        <family val="3"/>
        <charset val="129"/>
        <scheme val="minor"/>
      </rPr>
      <t>사용자가 수정 불가 (단, 계산에 의해서 수정 가능)</t>
    </r>
    <phoneticPr fontId="1" type="noConversion"/>
  </si>
  <si>
    <t>C0909A10002I5IL0947</t>
  </si>
  <si>
    <t>0,0</t>
  </si>
  <si>
    <t>2</t>
  </si>
  <si>
    <t>0</t>
  </si>
  <si>
    <t>1</t>
  </si>
  <si>
    <t>SS</t>
    <phoneticPr fontId="1" type="noConversion"/>
  </si>
  <si>
    <t>FF</t>
    <phoneticPr fontId="1" type="noConversion"/>
  </si>
  <si>
    <t>FS,FS</t>
    <phoneticPr fontId="1" type="noConversion"/>
  </si>
  <si>
    <t>보라색 값음 DB에 저장, 사용자화면에는 미표시</t>
    <phoneticPr fontId="1" type="noConversion"/>
  </si>
  <si>
    <t>C0909A10002I1I21059,C0909A10002I1I40081</t>
  </si>
  <si>
    <t>C0909A10002I2I50905,C0909A10002I2I50906</t>
  </si>
  <si>
    <t>C0909A10002I2I50954,C0909A10002I3I80915</t>
  </si>
  <si>
    <t>C0909A10002I3I90954,C0909A10002I5IL0945</t>
  </si>
  <si>
    <t>C0909A10002I1I2</t>
  </si>
  <si>
    <t>C0909A10002I1I4</t>
  </si>
  <si>
    <t>C0909A10002I2</t>
  </si>
  <si>
    <t>C0909A10002I2I5</t>
  </si>
  <si>
    <t>C0909A10002I2I50905</t>
  </si>
  <si>
    <t>C0909A10002I2I50954</t>
  </si>
  <si>
    <t>C0909A10002I3</t>
  </si>
  <si>
    <t>C0909A10002I3I8</t>
  </si>
  <si>
    <t>C0909A10002I3I80915</t>
  </si>
  <si>
    <t>C0909A10002I3I9</t>
  </si>
  <si>
    <t>C0909A10002I5</t>
  </si>
  <si>
    <t>C0909A10002I5IL</t>
  </si>
  <si>
    <t>C0909A10002I5IL0945</t>
  </si>
  <si>
    <t>C0909A10002I5IL0953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</si>
</sst>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2"/>
      <color rgb="FF7030A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4" fillId="0" borderId="0" xfId="0" applyFont="1">
      <alignment vertical="center"/>
    </xf>
    <xf numFmtId="41" fontId="0" fillId="0" borderId="0" xfId="1" applyFont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4" fillId="3" borderId="1" xfId="0" applyFont="1" applyFill="1" applyBorder="1">
      <alignment vertical="center"/>
    </xf>
    <xf numFmtId="41" fontId="4" fillId="3" borderId="1" xfId="1" applyFont="1" applyFill="1" applyBorder="1">
      <alignment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4" fillId="4" borderId="1" xfId="0" applyFont="1" applyFill="1" applyBorder="1">
      <alignment vertical="center"/>
    </xf>
    <xf numFmtId="14" fontId="0" fillId="2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4" fillId="2" borderId="1" xfId="0" applyNumberFormat="1" applyFont="1" applyFill="1" applyBorder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AEB-CD4F-4183-9533-10412DD4C158}">
  <dimension ref="A3:AK184"/>
  <sheetViews>
    <sheetView tabSelected="1" zoomScale="55" zoomScaleNormal="55" workbookViewId="0">
      <selection activeCell="AD25" sqref="AD25"/>
    </sheetView>
  </sheetViews>
  <sheetFormatPr defaultRowHeight="16.5" x14ac:dyDescent="0.3"/>
  <cols>
    <col min="1" max="1" width="9.25" bestFit="1" customWidth="1"/>
    <col min="2" max="2" width="23.5" bestFit="1" customWidth="1"/>
    <col min="3" max="3" width="48.125" customWidth="1"/>
    <col min="4" max="4" width="42.5" customWidth="1"/>
    <col min="5" max="6" width="9" customWidth="1"/>
    <col min="7" max="7" width="12.625" style="2" customWidth="1"/>
    <col min="8" max="8" width="15.375" style="2" customWidth="1"/>
    <col min="9" max="9" width="12.625" style="2" customWidth="1"/>
    <col min="10" max="10" width="13.625" style="2" customWidth="1"/>
    <col min="11" max="11" width="12.625" style="2" customWidth="1"/>
    <col min="12" max="12" width="13.625" style="2" customWidth="1"/>
    <col min="13" max="13" width="11.5" style="2" customWidth="1"/>
    <col min="14" max="14" width="12.625" style="2" customWidth="1"/>
    <col min="15" max="15" width="16.5" customWidth="1"/>
    <col min="16" max="17" width="11.125" bestFit="1" customWidth="1"/>
    <col min="18" max="18" width="10.25" bestFit="1" customWidth="1"/>
    <col min="19" max="20" width="12.25" bestFit="1" customWidth="1"/>
    <col min="21" max="21" width="10.25" bestFit="1" customWidth="1"/>
    <col min="22" max="22" width="22.75" bestFit="1" customWidth="1"/>
    <col min="23" max="23" width="10.75" customWidth="1"/>
    <col min="24" max="24" width="11.5" customWidth="1"/>
    <col min="25" max="25" width="22.75" bestFit="1" customWidth="1"/>
    <col min="26" max="26" width="10.75" bestFit="1" customWidth="1"/>
    <col min="27" max="27" width="11.5" bestFit="1" customWidth="1"/>
    <col min="28" max="28" width="8.875" bestFit="1" customWidth="1"/>
    <col min="29" max="29" width="7.125" bestFit="1" customWidth="1"/>
    <col min="30" max="30" width="13.25" bestFit="1" customWidth="1"/>
    <col min="31" max="34" width="14.375" bestFit="1" customWidth="1"/>
    <col min="35" max="35" width="12.5" bestFit="1" customWidth="1"/>
    <col min="36" max="36" width="14.375" bestFit="1" customWidth="1"/>
    <col min="37" max="37" width="64.75" bestFit="1" customWidth="1"/>
  </cols>
  <sheetData>
    <row r="3" spans="1:37" ht="16.5" customHeight="1" x14ac:dyDescent="0.3">
      <c r="A3" s="32" t="s">
        <v>390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5" t="s">
        <v>407</v>
      </c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 t="s">
        <v>410</v>
      </c>
      <c r="AC3" s="36"/>
      <c r="AD3" s="36"/>
      <c r="AE3" s="36"/>
      <c r="AF3" s="36"/>
      <c r="AG3" s="36"/>
      <c r="AH3" s="36"/>
      <c r="AI3" s="36"/>
      <c r="AJ3" s="36"/>
    </row>
    <row r="4" spans="1:37" ht="16.5" customHeight="1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6"/>
      <c r="AD4" s="36"/>
      <c r="AE4" s="36"/>
      <c r="AF4" s="36"/>
      <c r="AG4" s="36"/>
      <c r="AH4" s="36"/>
      <c r="AI4" s="36"/>
      <c r="AJ4" s="36"/>
    </row>
    <row r="5" spans="1:37" ht="24" x14ac:dyDescent="0.3">
      <c r="A5" s="3"/>
      <c r="B5" s="40" t="s">
        <v>391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37" t="s">
        <v>396</v>
      </c>
      <c r="Q5" s="37"/>
      <c r="R5" s="37"/>
      <c r="S5" s="37"/>
      <c r="T5" s="37"/>
      <c r="U5" s="37"/>
      <c r="V5" s="37" t="s">
        <v>353</v>
      </c>
      <c r="W5" s="37"/>
      <c r="X5" s="37"/>
      <c r="Y5" s="37"/>
      <c r="Z5" s="37"/>
      <c r="AA5" s="37"/>
      <c r="AB5" s="38" t="s">
        <v>392</v>
      </c>
      <c r="AC5" s="38"/>
      <c r="AD5" s="38" t="s">
        <v>406</v>
      </c>
      <c r="AE5" s="38"/>
      <c r="AF5" s="38"/>
      <c r="AG5" s="38"/>
      <c r="AH5" s="38"/>
      <c r="AI5" s="38"/>
      <c r="AJ5" s="38"/>
    </row>
    <row r="6" spans="1:37" ht="17.25" x14ac:dyDescent="0.3">
      <c r="A6" s="29" t="s">
        <v>394</v>
      </c>
      <c r="B6" s="29" t="s">
        <v>0</v>
      </c>
      <c r="C6" s="29" t="s">
        <v>356</v>
      </c>
      <c r="D6" s="29" t="s">
        <v>357</v>
      </c>
      <c r="E6" s="31" t="s">
        <v>1</v>
      </c>
      <c r="F6" s="29" t="s">
        <v>358</v>
      </c>
      <c r="G6" s="30" t="s">
        <v>4</v>
      </c>
      <c r="H6" s="30"/>
      <c r="I6" s="30" t="s">
        <v>5</v>
      </c>
      <c r="J6" s="30"/>
      <c r="K6" s="30" t="s">
        <v>6</v>
      </c>
      <c r="L6" s="30"/>
      <c r="M6" s="30" t="s">
        <v>7</v>
      </c>
      <c r="N6" s="30"/>
      <c r="O6" s="29" t="s">
        <v>359</v>
      </c>
      <c r="P6" s="39" t="s">
        <v>328</v>
      </c>
      <c r="Q6" s="39"/>
      <c r="R6" s="39"/>
      <c r="S6" s="39" t="s">
        <v>395</v>
      </c>
      <c r="T6" s="39"/>
      <c r="U6" s="39"/>
      <c r="V6" s="39" t="s">
        <v>2</v>
      </c>
      <c r="W6" s="39"/>
      <c r="X6" s="39"/>
      <c r="Y6" s="39" t="s">
        <v>3</v>
      </c>
      <c r="Z6" s="39"/>
      <c r="AA6" s="39"/>
      <c r="AB6" s="34" t="s">
        <v>329</v>
      </c>
      <c r="AC6" s="34"/>
      <c r="AD6" s="34" t="s">
        <v>398</v>
      </c>
      <c r="AE6" s="34"/>
      <c r="AF6" s="34"/>
      <c r="AG6" s="34"/>
      <c r="AH6" s="34"/>
      <c r="AI6" s="34"/>
      <c r="AJ6" s="34"/>
    </row>
    <row r="7" spans="1:37" ht="17.25" x14ac:dyDescent="0.3">
      <c r="A7" s="29"/>
      <c r="B7" s="29"/>
      <c r="C7" s="29"/>
      <c r="D7" s="29"/>
      <c r="E7" s="29"/>
      <c r="F7" s="29"/>
      <c r="G7" s="13" t="s">
        <v>8</v>
      </c>
      <c r="H7" s="13" t="s">
        <v>9</v>
      </c>
      <c r="I7" s="13" t="s">
        <v>8</v>
      </c>
      <c r="J7" s="13" t="s">
        <v>9</v>
      </c>
      <c r="K7" s="13" t="s">
        <v>8</v>
      </c>
      <c r="L7" s="13" t="s">
        <v>9</v>
      </c>
      <c r="M7" s="13" t="s">
        <v>8</v>
      </c>
      <c r="N7" s="13" t="s">
        <v>9</v>
      </c>
      <c r="O7" s="29"/>
      <c r="P7" s="14" t="s">
        <v>350</v>
      </c>
      <c r="Q7" s="14" t="s">
        <v>351</v>
      </c>
      <c r="R7" s="14" t="s">
        <v>408</v>
      </c>
      <c r="S7" s="14" t="s">
        <v>350</v>
      </c>
      <c r="T7" s="14" t="s">
        <v>351</v>
      </c>
      <c r="U7" s="14" t="s">
        <v>408</v>
      </c>
      <c r="V7" s="14" t="s">
        <v>397</v>
      </c>
      <c r="W7" s="14" t="s">
        <v>355</v>
      </c>
      <c r="X7" s="14" t="s">
        <v>399</v>
      </c>
      <c r="Y7" s="14" t="s">
        <v>397</v>
      </c>
      <c r="Z7" s="14" t="s">
        <v>355</v>
      </c>
      <c r="AA7" s="14" t="s">
        <v>399</v>
      </c>
      <c r="AB7" s="15" t="s">
        <v>392</v>
      </c>
      <c r="AC7" s="15" t="s">
        <v>352</v>
      </c>
      <c r="AD7" s="15" t="s">
        <v>393</v>
      </c>
      <c r="AE7" s="16" t="s">
        <v>400</v>
      </c>
      <c r="AF7" s="16" t="s">
        <v>401</v>
      </c>
      <c r="AG7" s="16" t="s">
        <v>402</v>
      </c>
      <c r="AH7" s="16" t="s">
        <v>403</v>
      </c>
      <c r="AI7" s="15" t="s">
        <v>404</v>
      </c>
      <c r="AJ7" s="16" t="s">
        <v>405</v>
      </c>
      <c r="AK7" s="17" t="s">
        <v>419</v>
      </c>
    </row>
    <row r="8" spans="1:37" x14ac:dyDescent="0.3">
      <c r="A8" s="12">
        <v>1</v>
      </c>
      <c r="B8" s="3" t="s">
        <v>330</v>
      </c>
      <c r="C8" s="3" t="s">
        <v>11</v>
      </c>
      <c r="D8" s="3" t="s">
        <v>10</v>
      </c>
      <c r="E8" s="3" t="s">
        <v>10</v>
      </c>
      <c r="F8" s="3" t="s">
        <v>10</v>
      </c>
      <c r="G8" s="4" t="s">
        <v>10</v>
      </c>
      <c r="H8" s="4">
        <v>1453568775</v>
      </c>
      <c r="I8" s="4" t="s">
        <v>10</v>
      </c>
      <c r="J8" s="4">
        <v>833078852</v>
      </c>
      <c r="K8" s="4" t="s">
        <v>10</v>
      </c>
      <c r="L8" s="4">
        <v>532891125</v>
      </c>
      <c r="M8" s="4" t="s">
        <v>10</v>
      </c>
      <c r="N8" s="4">
        <v>87598798</v>
      </c>
      <c r="O8" s="3" t="s">
        <v>10</v>
      </c>
      <c r="P8" s="11">
        <f>MIN(P9)</f>
        <v>46023</v>
      </c>
      <c r="Q8" s="11">
        <f>MAX(Q9)</f>
        <v>46075</v>
      </c>
      <c r="R8" s="22">
        <f>Q8-P8</f>
        <v>52</v>
      </c>
      <c r="S8" s="11"/>
      <c r="T8" s="11"/>
      <c r="U8" s="7"/>
      <c r="V8" s="20"/>
      <c r="W8" s="20"/>
      <c r="X8" s="22"/>
      <c r="Y8" s="7"/>
      <c r="Z8" s="7"/>
      <c r="AA8" s="7"/>
      <c r="AB8" s="9"/>
      <c r="AC8" s="9"/>
      <c r="AD8" s="24"/>
      <c r="AE8" s="24"/>
      <c r="AF8" s="24"/>
      <c r="AG8" s="24"/>
      <c r="AH8" s="24"/>
      <c r="AI8" s="24"/>
      <c r="AJ8" s="24"/>
    </row>
    <row r="9" spans="1:37" x14ac:dyDescent="0.3">
      <c r="A9" s="12">
        <v>2</v>
      </c>
      <c r="B9" s="3" t="s">
        <v>331</v>
      </c>
      <c r="C9" s="3" t="s">
        <v>12</v>
      </c>
      <c r="D9" s="3" t="s">
        <v>10</v>
      </c>
      <c r="E9" s="3" t="s">
        <v>10</v>
      </c>
      <c r="F9" s="3" t="s">
        <v>10</v>
      </c>
      <c r="G9" s="4" t="s">
        <v>10</v>
      </c>
      <c r="H9" s="4">
        <v>1453568775</v>
      </c>
      <c r="I9" s="4" t="s">
        <v>10</v>
      </c>
      <c r="J9" s="4">
        <v>833078852</v>
      </c>
      <c r="K9" s="4" t="s">
        <v>10</v>
      </c>
      <c r="L9" s="4">
        <v>532891125</v>
      </c>
      <c r="M9" s="4" t="s">
        <v>10</v>
      </c>
      <c r="N9" s="4">
        <v>87598798</v>
      </c>
      <c r="O9" s="3" t="s">
        <v>10</v>
      </c>
      <c r="P9" s="11">
        <f>MIN(P10)</f>
        <v>46023</v>
      </c>
      <c r="Q9" s="11">
        <f>MAX(Q10)</f>
        <v>46075</v>
      </c>
      <c r="R9" s="22">
        <f t="shared" ref="R9:R13" si="0">Q9-P9</f>
        <v>52</v>
      </c>
      <c r="S9" s="7"/>
      <c r="T9" s="7"/>
      <c r="U9" s="7"/>
      <c r="V9" s="7"/>
      <c r="W9" s="7"/>
      <c r="X9" s="22"/>
      <c r="Y9" s="7"/>
      <c r="Z9" s="7"/>
      <c r="AA9" s="7"/>
      <c r="AB9" s="9"/>
      <c r="AC9" s="9"/>
      <c r="AD9" s="24"/>
      <c r="AE9" s="24"/>
      <c r="AF9" s="24"/>
      <c r="AG9" s="24"/>
      <c r="AH9" s="24"/>
      <c r="AI9" s="24"/>
      <c r="AJ9" s="24"/>
    </row>
    <row r="10" spans="1:37" x14ac:dyDescent="0.3">
      <c r="A10" s="12">
        <v>3</v>
      </c>
      <c r="B10" s="3" t="s">
        <v>332</v>
      </c>
      <c r="C10" s="3" t="s">
        <v>219</v>
      </c>
      <c r="D10" s="3" t="s">
        <v>10</v>
      </c>
      <c r="E10" s="3" t="s">
        <v>10</v>
      </c>
      <c r="F10" s="3" t="s">
        <v>10</v>
      </c>
      <c r="G10" s="4" t="s">
        <v>10</v>
      </c>
      <c r="H10" s="4">
        <v>1453568775</v>
      </c>
      <c r="I10" s="4" t="s">
        <v>10</v>
      </c>
      <c r="J10" s="4">
        <v>833078852</v>
      </c>
      <c r="K10" s="4" t="s">
        <v>10</v>
      </c>
      <c r="L10" s="4">
        <v>532891125</v>
      </c>
      <c r="M10" s="4" t="s">
        <v>10</v>
      </c>
      <c r="N10" s="4">
        <v>87598798</v>
      </c>
      <c r="O10" s="3" t="s">
        <v>10</v>
      </c>
      <c r="P10" s="11">
        <f>MIN(P11)</f>
        <v>46023</v>
      </c>
      <c r="Q10" s="11">
        <f>MAX(Q11)</f>
        <v>46075</v>
      </c>
      <c r="R10" s="22">
        <f t="shared" si="0"/>
        <v>52</v>
      </c>
      <c r="S10" s="7"/>
      <c r="T10" s="7"/>
      <c r="U10" s="7"/>
      <c r="V10" s="7"/>
      <c r="W10" s="7"/>
      <c r="X10" s="22"/>
      <c r="Y10" s="7"/>
      <c r="Z10" s="7"/>
      <c r="AA10" s="7"/>
      <c r="AB10" s="9"/>
      <c r="AC10" s="9"/>
      <c r="AD10" s="24"/>
      <c r="AE10" s="24"/>
      <c r="AF10" s="24"/>
      <c r="AG10" s="24"/>
      <c r="AH10" s="24"/>
      <c r="AI10" s="24"/>
      <c r="AJ10" s="24"/>
    </row>
    <row r="11" spans="1:37" x14ac:dyDescent="0.3">
      <c r="A11" s="12">
        <v>4</v>
      </c>
      <c r="B11" s="3" t="s">
        <v>333</v>
      </c>
      <c r="C11" s="3" t="s">
        <v>220</v>
      </c>
      <c r="D11" s="3" t="s">
        <v>10</v>
      </c>
      <c r="E11" s="3" t="s">
        <v>10</v>
      </c>
      <c r="F11" s="3" t="s">
        <v>10</v>
      </c>
      <c r="G11" s="4" t="s">
        <v>10</v>
      </c>
      <c r="H11" s="4">
        <v>1453568775</v>
      </c>
      <c r="I11" s="4" t="s">
        <v>10</v>
      </c>
      <c r="J11" s="4">
        <v>833078852</v>
      </c>
      <c r="K11" s="4" t="s">
        <v>10</v>
      </c>
      <c r="L11" s="4">
        <v>532891125</v>
      </c>
      <c r="M11" s="4" t="s">
        <v>10</v>
      </c>
      <c r="N11" s="4">
        <v>87598798</v>
      </c>
      <c r="O11" s="3" t="s">
        <v>10</v>
      </c>
      <c r="P11" s="11">
        <f>MIN(P12,P27,P103,P154)</f>
        <v>46023</v>
      </c>
      <c r="Q11" s="11">
        <f>MAX(Q12,Q27,Q103,Q154)</f>
        <v>46075</v>
      </c>
      <c r="R11" s="22">
        <f t="shared" si="0"/>
        <v>52</v>
      </c>
      <c r="S11" s="7"/>
      <c r="T11" s="7"/>
      <c r="U11" s="7"/>
      <c r="V11" s="7"/>
      <c r="W11" s="7"/>
      <c r="X11" s="22"/>
      <c r="Y11" s="7"/>
      <c r="Z11" s="7"/>
      <c r="AA11" s="7"/>
      <c r="AB11" s="9"/>
      <c r="AC11" s="9"/>
      <c r="AD11" s="24"/>
      <c r="AE11" s="24"/>
      <c r="AF11" s="24"/>
      <c r="AG11" s="24"/>
      <c r="AH11" s="24"/>
      <c r="AI11" s="24"/>
      <c r="AJ11" s="24"/>
    </row>
    <row r="12" spans="1:37" x14ac:dyDescent="0.3">
      <c r="A12" s="12">
        <v>5</v>
      </c>
      <c r="B12" s="3" t="s">
        <v>334</v>
      </c>
      <c r="C12" s="3" t="s">
        <v>221</v>
      </c>
      <c r="D12" s="3" t="s">
        <v>10</v>
      </c>
      <c r="E12" s="3" t="s">
        <v>10</v>
      </c>
      <c r="F12" s="3" t="s">
        <v>10</v>
      </c>
      <c r="G12" s="4" t="s">
        <v>10</v>
      </c>
      <c r="H12" s="4">
        <v>39852150</v>
      </c>
      <c r="I12" s="4" t="s">
        <v>10</v>
      </c>
      <c r="J12" s="4">
        <v>8294207</v>
      </c>
      <c r="K12" s="4" t="s">
        <v>10</v>
      </c>
      <c r="L12" s="4">
        <v>25891654</v>
      </c>
      <c r="M12" s="4" t="s">
        <v>10</v>
      </c>
      <c r="N12" s="4">
        <v>5666289</v>
      </c>
      <c r="O12" s="3" t="s">
        <v>10</v>
      </c>
      <c r="P12" s="11">
        <f>MIN(P13,P17,P20)</f>
        <v>46023</v>
      </c>
      <c r="Q12" s="11">
        <f>MAX(Q13,Q17,Q20)</f>
        <v>46044</v>
      </c>
      <c r="R12" s="22">
        <f t="shared" si="0"/>
        <v>21</v>
      </c>
      <c r="S12" s="7"/>
      <c r="T12" s="7"/>
      <c r="U12" s="7"/>
      <c r="V12" s="7"/>
      <c r="W12" s="7"/>
      <c r="X12" s="22"/>
      <c r="Y12" s="7"/>
      <c r="Z12" s="7"/>
      <c r="AA12" s="7"/>
      <c r="AB12" s="9"/>
      <c r="AC12" s="9"/>
      <c r="AD12" s="24"/>
      <c r="AE12" s="24"/>
      <c r="AF12" s="24"/>
      <c r="AG12" s="24"/>
      <c r="AH12" s="24"/>
      <c r="AI12" s="24"/>
      <c r="AJ12" s="24"/>
    </row>
    <row r="13" spans="1:37" x14ac:dyDescent="0.3">
      <c r="A13" s="12">
        <v>6</v>
      </c>
      <c r="B13" s="3" t="s">
        <v>335</v>
      </c>
      <c r="C13" s="3" t="s">
        <v>222</v>
      </c>
      <c r="D13" s="3" t="s">
        <v>10</v>
      </c>
      <c r="E13" s="3" t="s">
        <v>10</v>
      </c>
      <c r="F13" s="3" t="s">
        <v>10</v>
      </c>
      <c r="G13" s="4" t="s">
        <v>10</v>
      </c>
      <c r="H13" s="4">
        <v>12352535</v>
      </c>
      <c r="I13" s="4" t="s">
        <v>10</v>
      </c>
      <c r="J13" s="4">
        <v>3712018</v>
      </c>
      <c r="K13" s="4" t="s">
        <v>10</v>
      </c>
      <c r="L13" s="4">
        <v>5653932</v>
      </c>
      <c r="M13" s="4" t="s">
        <v>10</v>
      </c>
      <c r="N13" s="4">
        <v>2986585</v>
      </c>
      <c r="O13" s="3" t="s">
        <v>10</v>
      </c>
      <c r="P13" s="11">
        <f>MIN(P14)</f>
        <v>46023</v>
      </c>
      <c r="Q13" s="11">
        <f>MAX(Q14)</f>
        <v>46026</v>
      </c>
      <c r="R13" s="22">
        <f t="shared" si="0"/>
        <v>3</v>
      </c>
      <c r="S13" s="7"/>
      <c r="T13" s="7"/>
      <c r="U13" s="7"/>
      <c r="V13" s="7"/>
      <c r="W13" s="7"/>
      <c r="X13" s="22"/>
      <c r="Y13" s="7"/>
      <c r="Z13" s="7"/>
      <c r="AA13" s="7"/>
      <c r="AB13" s="9"/>
      <c r="AC13" s="9"/>
      <c r="AD13" s="24"/>
      <c r="AE13" s="24"/>
      <c r="AF13" s="24"/>
      <c r="AG13" s="24"/>
      <c r="AH13" s="24"/>
      <c r="AI13" s="24"/>
      <c r="AJ13" s="24"/>
    </row>
    <row r="14" spans="1:37" s="1" customFormat="1" x14ac:dyDescent="0.3">
      <c r="A14" s="18">
        <v>7</v>
      </c>
      <c r="B14" s="5" t="s">
        <v>336</v>
      </c>
      <c r="C14" s="5" t="s">
        <v>223</v>
      </c>
      <c r="D14" s="5" t="s">
        <v>10</v>
      </c>
      <c r="E14" s="5" t="s">
        <v>10</v>
      </c>
      <c r="F14" s="5" t="s">
        <v>10</v>
      </c>
      <c r="G14" s="6" t="s">
        <v>10</v>
      </c>
      <c r="H14" s="6">
        <v>12352535</v>
      </c>
      <c r="I14" s="6" t="s">
        <v>10</v>
      </c>
      <c r="J14" s="6">
        <v>3712018</v>
      </c>
      <c r="K14" s="6" t="s">
        <v>10</v>
      </c>
      <c r="L14" s="6">
        <v>5653932</v>
      </c>
      <c r="M14" s="6" t="s">
        <v>10</v>
      </c>
      <c r="N14" s="6">
        <v>2986585</v>
      </c>
      <c r="O14" s="5" t="s">
        <v>10</v>
      </c>
      <c r="P14" s="25">
        <v>46023</v>
      </c>
      <c r="Q14" s="25">
        <v>46026</v>
      </c>
      <c r="R14" s="23">
        <v>3</v>
      </c>
      <c r="S14" s="26"/>
      <c r="T14" s="26"/>
      <c r="U14" s="23"/>
      <c r="V14" s="21"/>
      <c r="W14" s="21"/>
      <c r="X14" s="23"/>
      <c r="Y14" s="23"/>
      <c r="Z14" s="23"/>
      <c r="AA14" s="23"/>
      <c r="AB14" s="27"/>
      <c r="AC14" s="28"/>
      <c r="AD14" s="28"/>
      <c r="AE14" s="28"/>
      <c r="AF14" s="28"/>
      <c r="AG14" s="28"/>
      <c r="AH14" s="28"/>
      <c r="AI14" s="28"/>
      <c r="AJ14" s="28"/>
    </row>
    <row r="15" spans="1:37" x14ac:dyDescent="0.3">
      <c r="A15" s="12" t="s">
        <v>409</v>
      </c>
      <c r="B15" s="3" t="s">
        <v>360</v>
      </c>
      <c r="C15" s="3" t="s">
        <v>224</v>
      </c>
      <c r="D15" s="3" t="s">
        <v>13</v>
      </c>
      <c r="E15" s="3">
        <v>943</v>
      </c>
      <c r="F15" s="3" t="s">
        <v>14</v>
      </c>
      <c r="G15" s="4">
        <v>2197</v>
      </c>
      <c r="H15" s="4">
        <v>2071771</v>
      </c>
      <c r="I15" s="4">
        <v>568</v>
      </c>
      <c r="J15" s="4">
        <v>535624</v>
      </c>
      <c r="K15" s="4">
        <v>1010</v>
      </c>
      <c r="L15" s="4">
        <v>952430</v>
      </c>
      <c r="M15" s="4">
        <v>619</v>
      </c>
      <c r="N15" s="4">
        <v>583717</v>
      </c>
      <c r="O15" s="3" t="s">
        <v>15</v>
      </c>
      <c r="P15" s="11"/>
      <c r="Q15" s="11"/>
      <c r="R15" s="7"/>
      <c r="S15" s="7"/>
      <c r="T15" s="7"/>
      <c r="U15" s="7"/>
      <c r="V15" s="7"/>
      <c r="W15" s="7"/>
      <c r="X15" s="22"/>
      <c r="Y15" s="7"/>
      <c r="Z15" s="7"/>
      <c r="AA15" s="7"/>
      <c r="AB15" s="9"/>
      <c r="AC15" s="9"/>
      <c r="AD15" s="24"/>
      <c r="AE15" s="24"/>
      <c r="AF15" s="24"/>
      <c r="AG15" s="24"/>
      <c r="AH15" s="24"/>
      <c r="AI15" s="24"/>
      <c r="AJ15" s="24"/>
    </row>
    <row r="16" spans="1:37" x14ac:dyDescent="0.3">
      <c r="A16" s="12" t="s">
        <v>409</v>
      </c>
      <c r="B16" s="3" t="s">
        <v>360</v>
      </c>
      <c r="C16" s="3" t="s">
        <v>225</v>
      </c>
      <c r="D16" s="3" t="s">
        <v>16</v>
      </c>
      <c r="E16" s="3">
        <v>5486</v>
      </c>
      <c r="F16" s="3" t="s">
        <v>17</v>
      </c>
      <c r="G16" s="4">
        <v>1874</v>
      </c>
      <c r="H16" s="4">
        <v>10280764</v>
      </c>
      <c r="I16" s="4">
        <v>579</v>
      </c>
      <c r="J16" s="4">
        <v>3176394</v>
      </c>
      <c r="K16" s="4">
        <v>857</v>
      </c>
      <c r="L16" s="4">
        <v>4701502</v>
      </c>
      <c r="M16" s="4">
        <v>438</v>
      </c>
      <c r="N16" s="4">
        <v>2402868</v>
      </c>
      <c r="O16" s="3" t="s">
        <v>18</v>
      </c>
      <c r="P16" s="11"/>
      <c r="Q16" s="11"/>
      <c r="R16" s="7"/>
      <c r="S16" s="7"/>
      <c r="T16" s="7"/>
      <c r="U16" s="7"/>
      <c r="V16" s="7"/>
      <c r="W16" s="7"/>
      <c r="X16" s="22"/>
      <c r="Y16" s="7"/>
      <c r="Z16" s="7"/>
      <c r="AA16" s="7"/>
      <c r="AB16" s="9"/>
      <c r="AC16" s="9"/>
      <c r="AD16" s="24"/>
      <c r="AE16" s="24"/>
      <c r="AF16" s="24"/>
      <c r="AG16" s="24"/>
      <c r="AH16" s="24"/>
      <c r="AI16" s="24"/>
      <c r="AJ16" s="24"/>
    </row>
    <row r="17" spans="1:36" x14ac:dyDescent="0.3">
      <c r="A17" s="12">
        <v>6</v>
      </c>
      <c r="B17" s="3" t="s">
        <v>424</v>
      </c>
      <c r="C17" s="3" t="s">
        <v>226</v>
      </c>
      <c r="D17" s="3" t="s">
        <v>10</v>
      </c>
      <c r="E17" s="3" t="s">
        <v>10</v>
      </c>
      <c r="F17" s="3" t="s">
        <v>10</v>
      </c>
      <c r="G17" s="4" t="s">
        <v>10</v>
      </c>
      <c r="H17" s="4">
        <v>17301675</v>
      </c>
      <c r="I17" s="4" t="s">
        <v>10</v>
      </c>
      <c r="J17" s="4">
        <v>2664615</v>
      </c>
      <c r="K17" s="4" t="s">
        <v>10</v>
      </c>
      <c r="L17" s="4">
        <v>12883335</v>
      </c>
      <c r="M17" s="4" t="s">
        <v>10</v>
      </c>
      <c r="N17" s="4">
        <v>1753725</v>
      </c>
      <c r="O17" s="3" t="s">
        <v>10</v>
      </c>
      <c r="P17" s="11">
        <f>MIN(P18)</f>
        <v>46026</v>
      </c>
      <c r="Q17" s="11">
        <f>MAX(Q18)</f>
        <v>46031</v>
      </c>
      <c r="R17" s="22">
        <f>Q17-P17</f>
        <v>5</v>
      </c>
      <c r="S17" s="7"/>
      <c r="T17" s="7"/>
      <c r="U17" s="7"/>
      <c r="V17" s="7"/>
      <c r="W17" s="7"/>
      <c r="X17" s="22"/>
      <c r="Y17" s="7"/>
      <c r="Z17" s="7"/>
      <c r="AA17" s="7"/>
      <c r="AB17" s="9"/>
      <c r="AC17" s="9"/>
      <c r="AD17" s="24"/>
      <c r="AE17" s="24"/>
      <c r="AF17" s="24"/>
      <c r="AG17" s="24"/>
      <c r="AH17" s="24"/>
      <c r="AI17" s="24"/>
      <c r="AJ17" s="24"/>
    </row>
    <row r="18" spans="1:36" x14ac:dyDescent="0.3">
      <c r="A18" s="12">
        <v>7</v>
      </c>
      <c r="B18" s="3" t="s">
        <v>337</v>
      </c>
      <c r="C18" s="3" t="s">
        <v>227</v>
      </c>
      <c r="D18" s="3" t="s">
        <v>10</v>
      </c>
      <c r="E18" s="3" t="s">
        <v>10</v>
      </c>
      <c r="F18" s="3" t="s">
        <v>10</v>
      </c>
      <c r="G18" s="4" t="s">
        <v>10</v>
      </c>
      <c r="H18" s="4">
        <v>17301675</v>
      </c>
      <c r="I18" s="4" t="s">
        <v>10</v>
      </c>
      <c r="J18" s="4">
        <v>2664615</v>
      </c>
      <c r="K18" s="4" t="s">
        <v>10</v>
      </c>
      <c r="L18" s="4">
        <v>12883335</v>
      </c>
      <c r="M18" s="4" t="s">
        <v>10</v>
      </c>
      <c r="N18" s="4">
        <v>1753725</v>
      </c>
      <c r="O18" s="3" t="s">
        <v>10</v>
      </c>
      <c r="P18" s="11">
        <v>46026</v>
      </c>
      <c r="Q18" s="11">
        <v>46031</v>
      </c>
      <c r="R18" s="22">
        <v>5</v>
      </c>
      <c r="S18" s="7"/>
      <c r="T18" s="7"/>
      <c r="U18" s="7"/>
      <c r="V18" s="20" t="s">
        <v>336</v>
      </c>
      <c r="W18" s="20" t="s">
        <v>354</v>
      </c>
      <c r="X18" s="22">
        <v>0</v>
      </c>
      <c r="Y18" s="19"/>
      <c r="Z18" s="7"/>
      <c r="AA18" s="7"/>
      <c r="AB18" s="9"/>
      <c r="AC18" s="9"/>
      <c r="AD18" s="24"/>
      <c r="AE18" s="24"/>
      <c r="AF18" s="24"/>
      <c r="AG18" s="24"/>
      <c r="AH18" s="24"/>
      <c r="AI18" s="24"/>
      <c r="AJ18" s="24"/>
    </row>
    <row r="19" spans="1:36" x14ac:dyDescent="0.3">
      <c r="A19" s="12" t="s">
        <v>409</v>
      </c>
      <c r="B19" s="3" t="s">
        <v>361</v>
      </c>
      <c r="C19" s="3" t="s">
        <v>228</v>
      </c>
      <c r="D19" s="3" t="s">
        <v>19</v>
      </c>
      <c r="E19" s="3">
        <v>5235</v>
      </c>
      <c r="F19" s="3" t="s">
        <v>14</v>
      </c>
      <c r="G19" s="4">
        <v>3305</v>
      </c>
      <c r="H19" s="4">
        <v>17301675</v>
      </c>
      <c r="I19" s="4">
        <v>509</v>
      </c>
      <c r="J19" s="4">
        <v>2664615</v>
      </c>
      <c r="K19" s="4">
        <v>2461</v>
      </c>
      <c r="L19" s="4">
        <v>12883335</v>
      </c>
      <c r="M19" s="4">
        <v>335</v>
      </c>
      <c r="N19" s="4">
        <v>1753725</v>
      </c>
      <c r="O19" s="3" t="s">
        <v>20</v>
      </c>
      <c r="P19" s="11"/>
      <c r="Q19" s="11"/>
      <c r="R19" s="7"/>
      <c r="S19" s="7"/>
      <c r="T19" s="7"/>
      <c r="U19" s="7"/>
      <c r="V19" s="7"/>
      <c r="W19" s="7"/>
      <c r="X19" s="22"/>
      <c r="Y19" s="7"/>
      <c r="Z19" s="7"/>
      <c r="AA19" s="7"/>
      <c r="AB19" s="9"/>
      <c r="AC19" s="9"/>
      <c r="AD19" s="24"/>
      <c r="AE19" s="24"/>
      <c r="AF19" s="24"/>
      <c r="AG19" s="24"/>
      <c r="AH19" s="24"/>
      <c r="AI19" s="24"/>
      <c r="AJ19" s="24"/>
    </row>
    <row r="20" spans="1:36" x14ac:dyDescent="0.3">
      <c r="A20" s="12">
        <v>6</v>
      </c>
      <c r="B20" s="3" t="s">
        <v>425</v>
      </c>
      <c r="C20" s="3" t="s">
        <v>229</v>
      </c>
      <c r="D20" s="3" t="s">
        <v>10</v>
      </c>
      <c r="E20" s="3" t="s">
        <v>10</v>
      </c>
      <c r="F20" s="3" t="s">
        <v>10</v>
      </c>
      <c r="G20" s="4" t="s">
        <v>10</v>
      </c>
      <c r="H20" s="4">
        <v>10197940</v>
      </c>
      <c r="I20" s="4" t="s">
        <v>10</v>
      </c>
      <c r="J20" s="4">
        <v>1917574</v>
      </c>
      <c r="K20" s="4" t="s">
        <v>10</v>
      </c>
      <c r="L20" s="4">
        <v>7354387</v>
      </c>
      <c r="M20" s="4" t="s">
        <v>10</v>
      </c>
      <c r="N20" s="4">
        <v>925979</v>
      </c>
      <c r="O20" s="3" t="s">
        <v>10</v>
      </c>
      <c r="P20" s="11">
        <f>MIN(P21:P27)</f>
        <v>46026</v>
      </c>
      <c r="Q20" s="11">
        <f>MAX(Q21:Q27)</f>
        <v>46044</v>
      </c>
      <c r="R20" s="22">
        <f>Q20-P20</f>
        <v>18</v>
      </c>
      <c r="S20" s="7"/>
      <c r="T20" s="7"/>
      <c r="U20" s="7"/>
      <c r="V20" s="7"/>
      <c r="W20" s="7"/>
      <c r="X20" s="22"/>
      <c r="Y20" s="7"/>
      <c r="Z20" s="7"/>
      <c r="AA20" s="7"/>
      <c r="AB20" s="9"/>
      <c r="AC20" s="9"/>
      <c r="AD20" s="24"/>
      <c r="AE20" s="24"/>
      <c r="AF20" s="24"/>
      <c r="AG20" s="24"/>
      <c r="AH20" s="24"/>
      <c r="AI20" s="24"/>
      <c r="AJ20" s="24"/>
    </row>
    <row r="21" spans="1:36" x14ac:dyDescent="0.3">
      <c r="A21" s="12">
        <v>7</v>
      </c>
      <c r="B21" s="3" t="s">
        <v>338</v>
      </c>
      <c r="C21" s="3" t="s">
        <v>230</v>
      </c>
      <c r="D21" s="3" t="s">
        <v>10</v>
      </c>
      <c r="E21" s="3" t="s">
        <v>10</v>
      </c>
      <c r="F21" s="3" t="s">
        <v>10</v>
      </c>
      <c r="G21" s="4" t="s">
        <v>10</v>
      </c>
      <c r="H21" s="4">
        <v>1405292</v>
      </c>
      <c r="I21" s="4" t="s">
        <v>10</v>
      </c>
      <c r="J21" s="4">
        <v>281064</v>
      </c>
      <c r="K21" s="4" t="s">
        <v>10</v>
      </c>
      <c r="L21" s="4">
        <v>1124228</v>
      </c>
      <c r="M21" s="4" t="s">
        <v>10</v>
      </c>
      <c r="N21" s="4">
        <v>0</v>
      </c>
      <c r="O21" s="3" t="s">
        <v>10</v>
      </c>
      <c r="P21" s="11">
        <v>46026</v>
      </c>
      <c r="Q21" s="11">
        <v>46030</v>
      </c>
      <c r="R21" s="22">
        <v>4</v>
      </c>
      <c r="S21" s="7"/>
      <c r="T21" s="7"/>
      <c r="U21" s="7"/>
      <c r="V21" s="20" t="s">
        <v>336</v>
      </c>
      <c r="W21" s="20" t="s">
        <v>354</v>
      </c>
      <c r="X21" s="22">
        <v>0</v>
      </c>
      <c r="Y21" s="19"/>
      <c r="Z21" s="7"/>
      <c r="AA21" s="7"/>
      <c r="AB21" s="9"/>
      <c r="AC21" s="9"/>
      <c r="AD21" s="24"/>
      <c r="AE21" s="24"/>
      <c r="AF21" s="24"/>
      <c r="AG21" s="24"/>
      <c r="AH21" s="24"/>
      <c r="AI21" s="24"/>
      <c r="AJ21" s="24"/>
    </row>
    <row r="22" spans="1:36" s="1" customFormat="1" x14ac:dyDescent="0.3">
      <c r="A22" s="18" t="s">
        <v>409</v>
      </c>
      <c r="B22" s="5" t="s">
        <v>362</v>
      </c>
      <c r="C22" s="5" t="s">
        <v>231</v>
      </c>
      <c r="D22" s="5" t="s">
        <v>21</v>
      </c>
      <c r="E22" s="5">
        <v>14</v>
      </c>
      <c r="F22" s="5" t="s">
        <v>22</v>
      </c>
      <c r="G22" s="6">
        <v>100378</v>
      </c>
      <c r="H22" s="6">
        <v>1405292</v>
      </c>
      <c r="I22" s="6">
        <v>20076</v>
      </c>
      <c r="J22" s="6">
        <v>281064</v>
      </c>
      <c r="K22" s="6">
        <v>80302</v>
      </c>
      <c r="L22" s="6">
        <v>1124228</v>
      </c>
      <c r="M22" s="6" t="s">
        <v>10</v>
      </c>
      <c r="N22" s="6">
        <v>0</v>
      </c>
      <c r="O22" s="5" t="s">
        <v>23</v>
      </c>
      <c r="P22" s="11"/>
      <c r="Q22" s="11"/>
      <c r="R22" s="7"/>
      <c r="S22" s="8"/>
      <c r="T22" s="8"/>
      <c r="U22" s="8"/>
      <c r="V22" s="7"/>
      <c r="W22" s="7"/>
      <c r="X22" s="23"/>
      <c r="Y22" s="8"/>
      <c r="Z22" s="8"/>
      <c r="AA22" s="8"/>
      <c r="AB22" s="10"/>
      <c r="AC22" s="10"/>
      <c r="AD22" s="24"/>
      <c r="AE22" s="24"/>
      <c r="AF22" s="24"/>
      <c r="AG22" s="24"/>
      <c r="AH22" s="24"/>
      <c r="AI22" s="24"/>
      <c r="AJ22" s="24"/>
    </row>
    <row r="23" spans="1:36" x14ac:dyDescent="0.3">
      <c r="A23" s="12">
        <v>7</v>
      </c>
      <c r="B23" s="3" t="s">
        <v>339</v>
      </c>
      <c r="C23" s="3" t="s">
        <v>232</v>
      </c>
      <c r="D23" s="3" t="s">
        <v>10</v>
      </c>
      <c r="E23" s="3" t="s">
        <v>10</v>
      </c>
      <c r="F23" s="3" t="s">
        <v>10</v>
      </c>
      <c r="G23" s="4" t="s">
        <v>10</v>
      </c>
      <c r="H23" s="4">
        <v>4102974</v>
      </c>
      <c r="I23" s="4" t="s">
        <v>10</v>
      </c>
      <c r="J23" s="4">
        <v>892107</v>
      </c>
      <c r="K23" s="4" t="s">
        <v>10</v>
      </c>
      <c r="L23" s="4">
        <v>2994894</v>
      </c>
      <c r="M23" s="4" t="s">
        <v>10</v>
      </c>
      <c r="N23" s="4">
        <v>215973</v>
      </c>
      <c r="O23" s="3" t="s">
        <v>10</v>
      </c>
      <c r="P23" s="11">
        <v>46026</v>
      </c>
      <c r="Q23" s="11">
        <v>46032</v>
      </c>
      <c r="R23" s="22">
        <v>6</v>
      </c>
      <c r="S23" s="7"/>
      <c r="T23" s="7"/>
      <c r="U23" s="7"/>
      <c r="V23" s="20" t="s">
        <v>337</v>
      </c>
      <c r="W23" s="20" t="s">
        <v>354</v>
      </c>
      <c r="X23" s="22">
        <v>0</v>
      </c>
      <c r="Y23" s="19"/>
      <c r="Z23" s="7"/>
      <c r="AA23" s="7"/>
      <c r="AB23" s="9"/>
      <c r="AC23" s="9"/>
      <c r="AD23" s="24"/>
      <c r="AE23" s="24"/>
      <c r="AF23" s="24"/>
      <c r="AG23" s="24"/>
      <c r="AH23" s="24"/>
      <c r="AI23" s="24"/>
      <c r="AJ23" s="24"/>
    </row>
    <row r="24" spans="1:36" x14ac:dyDescent="0.3">
      <c r="A24" s="12" t="s">
        <v>409</v>
      </c>
      <c r="B24" s="3" t="s">
        <v>363</v>
      </c>
      <c r="C24" s="3" t="s">
        <v>233</v>
      </c>
      <c r="D24" s="3" t="s">
        <v>24</v>
      </c>
      <c r="E24" s="3">
        <v>513</v>
      </c>
      <c r="F24" s="3" t="s">
        <v>14</v>
      </c>
      <c r="G24" s="4">
        <v>7998</v>
      </c>
      <c r="H24" s="4">
        <v>4102974</v>
      </c>
      <c r="I24" s="4">
        <v>1739</v>
      </c>
      <c r="J24" s="4">
        <v>892107</v>
      </c>
      <c r="K24" s="4">
        <v>5838</v>
      </c>
      <c r="L24" s="4">
        <v>2994894</v>
      </c>
      <c r="M24" s="4">
        <v>421</v>
      </c>
      <c r="N24" s="4">
        <v>215973</v>
      </c>
      <c r="O24" s="3" t="s">
        <v>25</v>
      </c>
      <c r="P24" s="11"/>
      <c r="Q24" s="11"/>
      <c r="R24" s="7"/>
      <c r="S24" s="7"/>
      <c r="T24" s="7"/>
      <c r="U24" s="7"/>
      <c r="V24" s="7"/>
      <c r="W24" s="7"/>
      <c r="X24" s="22"/>
      <c r="Y24" s="7"/>
      <c r="Z24" s="7"/>
      <c r="AA24" s="7"/>
      <c r="AB24" s="9"/>
      <c r="AC24" s="9"/>
      <c r="AD24" s="24"/>
      <c r="AE24" s="24"/>
      <c r="AF24" s="24"/>
      <c r="AG24" s="24"/>
      <c r="AH24" s="24"/>
      <c r="AI24" s="24"/>
      <c r="AJ24" s="24"/>
    </row>
    <row r="25" spans="1:36" x14ac:dyDescent="0.3">
      <c r="A25" s="12">
        <v>7</v>
      </c>
      <c r="B25" s="3" t="s">
        <v>340</v>
      </c>
      <c r="C25" s="3" t="s">
        <v>234</v>
      </c>
      <c r="D25" s="3" t="s">
        <v>10</v>
      </c>
      <c r="E25" s="3" t="s">
        <v>10</v>
      </c>
      <c r="F25" s="3" t="s">
        <v>10</v>
      </c>
      <c r="G25" s="4" t="s">
        <v>10</v>
      </c>
      <c r="H25" s="4">
        <v>4689674</v>
      </c>
      <c r="I25" s="4" t="s">
        <v>10</v>
      </c>
      <c r="J25" s="4">
        <v>744403</v>
      </c>
      <c r="K25" s="4" t="s">
        <v>10</v>
      </c>
      <c r="L25" s="4">
        <v>3235265</v>
      </c>
      <c r="M25" s="4" t="s">
        <v>10</v>
      </c>
      <c r="N25" s="4">
        <v>710006</v>
      </c>
      <c r="O25" s="3" t="s">
        <v>10</v>
      </c>
      <c r="P25" s="11">
        <v>46031</v>
      </c>
      <c r="Q25" s="11">
        <v>46036</v>
      </c>
      <c r="R25" s="22">
        <v>5</v>
      </c>
      <c r="S25" s="7"/>
      <c r="T25" s="7"/>
      <c r="U25" s="7"/>
      <c r="V25" s="20" t="s">
        <v>420</v>
      </c>
      <c r="W25" s="20" t="s">
        <v>418</v>
      </c>
      <c r="X25" s="22" t="s">
        <v>412</v>
      </c>
      <c r="Y25" s="19"/>
      <c r="Z25" s="7"/>
      <c r="AA25" s="7"/>
      <c r="AB25" s="9"/>
      <c r="AC25" s="9"/>
      <c r="AD25" s="24"/>
      <c r="AE25" s="24"/>
      <c r="AF25" s="24"/>
      <c r="AG25" s="24"/>
      <c r="AH25" s="24"/>
      <c r="AI25" s="24"/>
      <c r="AJ25" s="24"/>
    </row>
    <row r="26" spans="1:36" x14ac:dyDescent="0.3">
      <c r="A26" s="12" t="s">
        <v>409</v>
      </c>
      <c r="B26" s="3" t="s">
        <v>364</v>
      </c>
      <c r="C26" s="3" t="s">
        <v>235</v>
      </c>
      <c r="D26" s="3" t="s">
        <v>26</v>
      </c>
      <c r="E26" s="3">
        <v>649</v>
      </c>
      <c r="F26" s="3" t="s">
        <v>27</v>
      </c>
      <c r="G26" s="4">
        <v>7226</v>
      </c>
      <c r="H26" s="4">
        <v>4689674</v>
      </c>
      <c r="I26" s="4">
        <v>1147</v>
      </c>
      <c r="J26" s="4">
        <v>744403</v>
      </c>
      <c r="K26" s="4">
        <v>4985</v>
      </c>
      <c r="L26" s="4">
        <v>3235265</v>
      </c>
      <c r="M26" s="4">
        <v>1094</v>
      </c>
      <c r="N26" s="4">
        <v>710006</v>
      </c>
      <c r="O26" s="3" t="s">
        <v>28</v>
      </c>
      <c r="P26" s="11"/>
      <c r="Q26" s="11"/>
      <c r="R26" s="7"/>
      <c r="S26" s="7"/>
      <c r="T26" s="7"/>
      <c r="U26" s="7"/>
      <c r="V26" s="7"/>
      <c r="W26" s="7"/>
      <c r="X26" s="22"/>
      <c r="Y26" s="7"/>
      <c r="Z26" s="7"/>
      <c r="AA26" s="7"/>
      <c r="AB26" s="9"/>
      <c r="AC26" s="9"/>
      <c r="AD26" s="24"/>
      <c r="AE26" s="24"/>
      <c r="AF26" s="24"/>
      <c r="AG26" s="24"/>
      <c r="AH26" s="24"/>
      <c r="AI26" s="24"/>
      <c r="AJ26" s="24"/>
    </row>
    <row r="27" spans="1:36" x14ac:dyDescent="0.3">
      <c r="A27" s="12">
        <v>5</v>
      </c>
      <c r="B27" s="3" t="s">
        <v>426</v>
      </c>
      <c r="C27" s="3" t="s">
        <v>236</v>
      </c>
      <c r="D27" s="3" t="s">
        <v>10</v>
      </c>
      <c r="E27" s="3" t="s">
        <v>10</v>
      </c>
      <c r="F27" s="3" t="s">
        <v>10</v>
      </c>
      <c r="G27" s="4" t="s">
        <v>10</v>
      </c>
      <c r="H27" s="4">
        <v>681942757</v>
      </c>
      <c r="I27" s="4" t="s">
        <v>10</v>
      </c>
      <c r="J27" s="4">
        <v>482029367</v>
      </c>
      <c r="K27" s="4" t="s">
        <v>10</v>
      </c>
      <c r="L27" s="4">
        <v>161583431</v>
      </c>
      <c r="M27" s="4" t="s">
        <v>10</v>
      </c>
      <c r="N27" s="4">
        <v>38329959</v>
      </c>
      <c r="O27" s="3" t="s">
        <v>10</v>
      </c>
      <c r="P27" s="11">
        <f>MIN(P28)</f>
        <v>46028</v>
      </c>
      <c r="Q27" s="11">
        <f>MAX(Q28)</f>
        <v>46044</v>
      </c>
      <c r="R27" s="22">
        <f t="shared" ref="R27:R28" si="1">Q27-P27</f>
        <v>16</v>
      </c>
      <c r="S27" s="7"/>
      <c r="T27" s="7"/>
      <c r="U27" s="7"/>
      <c r="V27" s="7"/>
      <c r="W27" s="7"/>
      <c r="X27" s="22"/>
      <c r="Y27" s="7"/>
      <c r="Z27" s="7"/>
      <c r="AA27" s="7"/>
      <c r="AB27" s="9"/>
      <c r="AC27" s="9"/>
      <c r="AD27" s="24"/>
      <c r="AE27" s="24"/>
      <c r="AF27" s="24"/>
      <c r="AG27" s="24"/>
      <c r="AH27" s="24"/>
      <c r="AI27" s="24"/>
      <c r="AJ27" s="24"/>
    </row>
    <row r="28" spans="1:36" x14ac:dyDescent="0.3">
      <c r="A28" s="12">
        <v>6</v>
      </c>
      <c r="B28" s="3" t="s">
        <v>427</v>
      </c>
      <c r="C28" s="3" t="s">
        <v>237</v>
      </c>
      <c r="D28" s="3" t="s">
        <v>10</v>
      </c>
      <c r="E28" s="3" t="s">
        <v>10</v>
      </c>
      <c r="F28" s="3" t="s">
        <v>10</v>
      </c>
      <c r="G28" s="4" t="s">
        <v>10</v>
      </c>
      <c r="H28" s="4">
        <v>681942757</v>
      </c>
      <c r="I28" s="4" t="s">
        <v>10</v>
      </c>
      <c r="J28" s="4">
        <v>482029367</v>
      </c>
      <c r="K28" s="4" t="s">
        <v>10</v>
      </c>
      <c r="L28" s="4">
        <v>161583431</v>
      </c>
      <c r="M28" s="4" t="s">
        <v>10</v>
      </c>
      <c r="N28" s="4">
        <v>38329959</v>
      </c>
      <c r="O28" s="3" t="s">
        <v>10</v>
      </c>
      <c r="P28" s="11">
        <f>MIN(P29:P92)</f>
        <v>46028</v>
      </c>
      <c r="Q28" s="11">
        <f>MAX(Q29:Q92)</f>
        <v>46044</v>
      </c>
      <c r="R28" s="22">
        <f t="shared" si="1"/>
        <v>16</v>
      </c>
      <c r="S28" s="7"/>
      <c r="T28" s="7"/>
      <c r="U28" s="7"/>
      <c r="V28" s="7"/>
      <c r="W28" s="7"/>
      <c r="X28" s="22"/>
      <c r="Y28" s="7"/>
      <c r="Z28" s="7"/>
      <c r="AA28" s="7"/>
      <c r="AB28" s="9"/>
      <c r="AC28" s="9"/>
      <c r="AD28" s="24"/>
      <c r="AE28" s="24"/>
      <c r="AF28" s="24"/>
      <c r="AG28" s="24"/>
      <c r="AH28" s="24"/>
      <c r="AI28" s="24"/>
      <c r="AJ28" s="24"/>
    </row>
    <row r="29" spans="1:36" x14ac:dyDescent="0.3">
      <c r="A29" s="12">
        <v>7</v>
      </c>
      <c r="B29" s="3" t="s">
        <v>341</v>
      </c>
      <c r="C29" s="3" t="s">
        <v>238</v>
      </c>
      <c r="D29" s="3" t="s">
        <v>10</v>
      </c>
      <c r="E29" s="3" t="s">
        <v>10</v>
      </c>
      <c r="F29" s="3" t="s">
        <v>10</v>
      </c>
      <c r="G29" s="4" t="s">
        <v>10</v>
      </c>
      <c r="H29" s="4">
        <v>371197463</v>
      </c>
      <c r="I29" s="4" t="s">
        <v>10</v>
      </c>
      <c r="J29" s="4">
        <v>285523261</v>
      </c>
      <c r="K29" s="4" t="s">
        <v>10</v>
      </c>
      <c r="L29" s="4">
        <v>51327963</v>
      </c>
      <c r="M29" s="4" t="s">
        <v>10</v>
      </c>
      <c r="N29" s="4">
        <v>34346239</v>
      </c>
      <c r="O29" s="3" t="s">
        <v>10</v>
      </c>
      <c r="P29" s="11">
        <v>46033</v>
      </c>
      <c r="Q29" s="11">
        <v>46037</v>
      </c>
      <c r="R29" s="22">
        <v>4</v>
      </c>
      <c r="S29" s="7"/>
      <c r="T29" s="7"/>
      <c r="U29" s="7"/>
      <c r="V29" s="20" t="s">
        <v>338</v>
      </c>
      <c r="W29" s="20" t="s">
        <v>416</v>
      </c>
      <c r="X29" s="22" t="s">
        <v>413</v>
      </c>
      <c r="Y29" s="19"/>
      <c r="Z29" s="7"/>
      <c r="AA29" s="7"/>
      <c r="AB29" s="9"/>
      <c r="AC29" s="9"/>
      <c r="AD29" s="24"/>
      <c r="AE29" s="24"/>
      <c r="AF29" s="24"/>
      <c r="AG29" s="24"/>
      <c r="AH29" s="24"/>
      <c r="AI29" s="24"/>
      <c r="AJ29" s="24"/>
    </row>
    <row r="30" spans="1:36" x14ac:dyDescent="0.3">
      <c r="A30" s="12" t="s">
        <v>409</v>
      </c>
      <c r="B30" s="3" t="s">
        <v>365</v>
      </c>
      <c r="C30" s="3" t="s">
        <v>239</v>
      </c>
      <c r="D30" s="3" t="s">
        <v>29</v>
      </c>
      <c r="E30" s="3">
        <v>48</v>
      </c>
      <c r="F30" s="3" t="s">
        <v>30</v>
      </c>
      <c r="G30" s="4">
        <v>28491</v>
      </c>
      <c r="H30" s="4">
        <v>1367568</v>
      </c>
      <c r="I30" s="4">
        <v>3926</v>
      </c>
      <c r="J30" s="4">
        <v>188448</v>
      </c>
      <c r="K30" s="4">
        <v>23077</v>
      </c>
      <c r="L30" s="4">
        <v>1107696</v>
      </c>
      <c r="M30" s="4">
        <v>1488</v>
      </c>
      <c r="N30" s="4">
        <v>71424</v>
      </c>
      <c r="O30" s="3" t="s">
        <v>31</v>
      </c>
      <c r="P30" s="11"/>
      <c r="Q30" s="11"/>
      <c r="R30" s="7"/>
      <c r="S30" s="7"/>
      <c r="T30" s="7"/>
      <c r="U30" s="7"/>
      <c r="V30" s="7"/>
      <c r="W30" s="7"/>
      <c r="X30" s="22"/>
      <c r="Y30" s="7"/>
      <c r="Z30" s="7"/>
      <c r="AA30" s="7"/>
      <c r="AB30" s="9"/>
      <c r="AC30" s="9"/>
      <c r="AD30" s="24"/>
      <c r="AE30" s="24"/>
      <c r="AF30" s="24"/>
      <c r="AG30" s="24"/>
      <c r="AH30" s="24"/>
      <c r="AI30" s="24"/>
      <c r="AJ30" s="24"/>
    </row>
    <row r="31" spans="1:36" x14ac:dyDescent="0.3">
      <c r="A31" s="12" t="s">
        <v>409</v>
      </c>
      <c r="B31" s="3" t="s">
        <v>365</v>
      </c>
      <c r="C31" s="3" t="s">
        <v>240</v>
      </c>
      <c r="D31" s="3" t="s">
        <v>32</v>
      </c>
      <c r="E31" s="3">
        <v>24</v>
      </c>
      <c r="F31" s="3" t="s">
        <v>33</v>
      </c>
      <c r="G31" s="4">
        <v>8449</v>
      </c>
      <c r="H31" s="4">
        <v>202776</v>
      </c>
      <c r="I31" s="4">
        <v>2612</v>
      </c>
      <c r="J31" s="4">
        <v>62688</v>
      </c>
      <c r="K31" s="4">
        <v>5837</v>
      </c>
      <c r="L31" s="4">
        <v>140088</v>
      </c>
      <c r="M31" s="4" t="s">
        <v>10</v>
      </c>
      <c r="N31" s="4">
        <v>0</v>
      </c>
      <c r="O31" s="3" t="s">
        <v>34</v>
      </c>
      <c r="P31" s="11"/>
      <c r="Q31" s="11"/>
      <c r="R31" s="7"/>
      <c r="S31" s="7"/>
      <c r="T31" s="7"/>
      <c r="U31" s="7"/>
      <c r="V31" s="7"/>
      <c r="W31" s="7"/>
      <c r="X31" s="22"/>
      <c r="Y31" s="7"/>
      <c r="Z31" s="7"/>
      <c r="AA31" s="7"/>
      <c r="AB31" s="9"/>
      <c r="AC31" s="9"/>
      <c r="AD31" s="24"/>
      <c r="AE31" s="24"/>
      <c r="AF31" s="24"/>
      <c r="AG31" s="24"/>
      <c r="AH31" s="24"/>
      <c r="AI31" s="24"/>
      <c r="AJ31" s="24"/>
    </row>
    <row r="32" spans="1:36" x14ac:dyDescent="0.3">
      <c r="A32" s="12" t="s">
        <v>409</v>
      </c>
      <c r="B32" s="3" t="s">
        <v>365</v>
      </c>
      <c r="C32" s="3" t="s">
        <v>241</v>
      </c>
      <c r="D32" s="3" t="s">
        <v>35</v>
      </c>
      <c r="E32" s="3">
        <v>788.76</v>
      </c>
      <c r="F32" s="3" t="s">
        <v>36</v>
      </c>
      <c r="G32" s="4">
        <v>252600</v>
      </c>
      <c r="H32" s="4">
        <v>199240776</v>
      </c>
      <c r="I32" s="4">
        <v>252600</v>
      </c>
      <c r="J32" s="4">
        <v>199240776</v>
      </c>
      <c r="K32" s="4" t="s">
        <v>10</v>
      </c>
      <c r="L32" s="4">
        <v>0</v>
      </c>
      <c r="M32" s="4" t="s">
        <v>10</v>
      </c>
      <c r="N32" s="4">
        <v>0</v>
      </c>
      <c r="O32" s="3" t="s">
        <v>37</v>
      </c>
      <c r="P32" s="11"/>
      <c r="Q32" s="11"/>
      <c r="R32" s="7"/>
      <c r="S32" s="7"/>
      <c r="T32" s="7"/>
      <c r="U32" s="7"/>
      <c r="V32" s="7"/>
      <c r="W32" s="7"/>
      <c r="X32" s="22"/>
      <c r="Y32" s="7"/>
      <c r="Z32" s="7"/>
      <c r="AA32" s="7"/>
      <c r="AB32" s="9"/>
      <c r="AC32" s="9"/>
      <c r="AD32" s="24"/>
      <c r="AE32" s="24"/>
      <c r="AF32" s="24"/>
      <c r="AG32" s="24"/>
      <c r="AH32" s="24"/>
      <c r="AI32" s="24"/>
      <c r="AJ32" s="24"/>
    </row>
    <row r="33" spans="1:36" x14ac:dyDescent="0.3">
      <c r="A33" s="12" t="s">
        <v>409</v>
      </c>
      <c r="B33" s="3" t="s">
        <v>365</v>
      </c>
      <c r="C33" s="3" t="s">
        <v>242</v>
      </c>
      <c r="D33" s="3" t="s">
        <v>38</v>
      </c>
      <c r="E33" s="3">
        <v>4</v>
      </c>
      <c r="F33" s="3" t="s">
        <v>33</v>
      </c>
      <c r="G33" s="4">
        <v>365204</v>
      </c>
      <c r="H33" s="4">
        <v>1460816</v>
      </c>
      <c r="I33" s="4" t="s">
        <v>10</v>
      </c>
      <c r="J33" s="4">
        <v>0</v>
      </c>
      <c r="K33" s="4" t="s">
        <v>10</v>
      </c>
      <c r="L33" s="4">
        <v>0</v>
      </c>
      <c r="M33" s="4">
        <v>365204</v>
      </c>
      <c r="N33" s="4">
        <v>1460816</v>
      </c>
      <c r="O33" s="3" t="s">
        <v>39</v>
      </c>
      <c r="P33" s="11"/>
      <c r="Q33" s="11"/>
      <c r="R33" s="7"/>
      <c r="S33" s="7"/>
      <c r="T33" s="7"/>
      <c r="U33" s="7"/>
      <c r="V33" s="7"/>
      <c r="W33" s="7"/>
      <c r="X33" s="22"/>
      <c r="Y33" s="7"/>
      <c r="Z33" s="7"/>
      <c r="AA33" s="7"/>
      <c r="AB33" s="9"/>
      <c r="AC33" s="9"/>
      <c r="AD33" s="24"/>
      <c r="AE33" s="24"/>
      <c r="AF33" s="24"/>
      <c r="AG33" s="24"/>
      <c r="AH33" s="24"/>
      <c r="AI33" s="24"/>
      <c r="AJ33" s="24"/>
    </row>
    <row r="34" spans="1:36" x14ac:dyDescent="0.3">
      <c r="A34" s="12" t="s">
        <v>409</v>
      </c>
      <c r="B34" s="3" t="s">
        <v>365</v>
      </c>
      <c r="C34" s="3" t="s">
        <v>242</v>
      </c>
      <c r="D34" s="3" t="s">
        <v>40</v>
      </c>
      <c r="E34" s="3">
        <v>2</v>
      </c>
      <c r="F34" s="3" t="s">
        <v>41</v>
      </c>
      <c r="G34" s="4">
        <v>2110294</v>
      </c>
      <c r="H34" s="4">
        <v>4220588</v>
      </c>
      <c r="I34" s="4" t="s">
        <v>10</v>
      </c>
      <c r="J34" s="4">
        <v>0</v>
      </c>
      <c r="K34" s="4" t="s">
        <v>10</v>
      </c>
      <c r="L34" s="4">
        <v>0</v>
      </c>
      <c r="M34" s="4">
        <v>2110294</v>
      </c>
      <c r="N34" s="4">
        <v>4220588</v>
      </c>
      <c r="O34" s="3" t="s">
        <v>42</v>
      </c>
      <c r="P34" s="11"/>
      <c r="Q34" s="11"/>
      <c r="R34" s="7"/>
      <c r="S34" s="7"/>
      <c r="T34" s="7"/>
      <c r="U34" s="7"/>
      <c r="V34" s="7"/>
      <c r="W34" s="7"/>
      <c r="X34" s="22"/>
      <c r="Y34" s="7"/>
      <c r="Z34" s="7"/>
      <c r="AA34" s="7"/>
      <c r="AB34" s="9"/>
      <c r="AC34" s="9"/>
      <c r="AD34" s="24"/>
      <c r="AE34" s="24"/>
      <c r="AF34" s="24"/>
      <c r="AG34" s="24"/>
      <c r="AH34" s="24"/>
      <c r="AI34" s="24"/>
      <c r="AJ34" s="24"/>
    </row>
    <row r="35" spans="1:36" x14ac:dyDescent="0.3">
      <c r="A35" s="12" t="s">
        <v>409</v>
      </c>
      <c r="B35" s="3" t="s">
        <v>365</v>
      </c>
      <c r="C35" s="3" t="s">
        <v>243</v>
      </c>
      <c r="D35" s="3" t="s">
        <v>43</v>
      </c>
      <c r="E35" s="3">
        <v>48</v>
      </c>
      <c r="F35" s="3" t="s">
        <v>44</v>
      </c>
      <c r="G35" s="4">
        <v>150500</v>
      </c>
      <c r="H35" s="4">
        <v>7224000</v>
      </c>
      <c r="I35" s="4">
        <v>111000</v>
      </c>
      <c r="J35" s="4">
        <v>5328000</v>
      </c>
      <c r="K35" s="4">
        <v>31000</v>
      </c>
      <c r="L35" s="4">
        <v>1488000</v>
      </c>
      <c r="M35" s="4">
        <v>8500</v>
      </c>
      <c r="N35" s="4">
        <v>408000</v>
      </c>
      <c r="O35" s="3" t="s">
        <v>45</v>
      </c>
      <c r="P35" s="11"/>
      <c r="Q35" s="11"/>
      <c r="R35" s="7"/>
      <c r="S35" s="7"/>
      <c r="T35" s="7"/>
      <c r="U35" s="7"/>
      <c r="V35" s="7"/>
      <c r="W35" s="7"/>
      <c r="X35" s="22"/>
      <c r="Y35" s="7"/>
      <c r="Z35" s="7"/>
      <c r="AA35" s="7"/>
      <c r="AB35" s="9"/>
      <c r="AC35" s="9"/>
      <c r="AD35" s="24"/>
      <c r="AE35" s="24"/>
      <c r="AF35" s="24"/>
      <c r="AG35" s="24"/>
      <c r="AH35" s="24"/>
      <c r="AI35" s="24"/>
      <c r="AJ35" s="24"/>
    </row>
    <row r="36" spans="1:36" x14ac:dyDescent="0.3">
      <c r="A36" s="12" t="s">
        <v>409</v>
      </c>
      <c r="B36" s="3" t="s">
        <v>365</v>
      </c>
      <c r="C36" s="3" t="s">
        <v>244</v>
      </c>
      <c r="D36" s="3" t="s">
        <v>46</v>
      </c>
      <c r="E36" s="3">
        <v>514</v>
      </c>
      <c r="F36" s="3" t="s">
        <v>44</v>
      </c>
      <c r="G36" s="4">
        <v>49157</v>
      </c>
      <c r="H36" s="4">
        <v>25266698</v>
      </c>
      <c r="I36" s="4">
        <v>10767</v>
      </c>
      <c r="J36" s="4">
        <v>5534238</v>
      </c>
      <c r="K36" s="4">
        <v>22677</v>
      </c>
      <c r="L36" s="4">
        <v>11655978</v>
      </c>
      <c r="M36" s="4">
        <v>15713</v>
      </c>
      <c r="N36" s="4">
        <v>8076482</v>
      </c>
      <c r="O36" s="3" t="s">
        <v>47</v>
      </c>
      <c r="P36" s="11"/>
      <c r="Q36" s="11"/>
      <c r="R36" s="7"/>
      <c r="S36" s="7"/>
      <c r="T36" s="7"/>
      <c r="U36" s="7"/>
      <c r="V36" s="7"/>
      <c r="W36" s="7"/>
      <c r="X36" s="22"/>
      <c r="Y36" s="7"/>
      <c r="Z36" s="7"/>
      <c r="AA36" s="7"/>
      <c r="AB36" s="9"/>
      <c r="AC36" s="9"/>
      <c r="AD36" s="24"/>
      <c r="AE36" s="24"/>
      <c r="AF36" s="24"/>
      <c r="AG36" s="24"/>
      <c r="AH36" s="24"/>
      <c r="AI36" s="24"/>
      <c r="AJ36" s="24"/>
    </row>
    <row r="37" spans="1:36" x14ac:dyDescent="0.3">
      <c r="A37" s="12" t="s">
        <v>409</v>
      </c>
      <c r="B37" s="3" t="s">
        <v>365</v>
      </c>
      <c r="C37" s="3" t="s">
        <v>244</v>
      </c>
      <c r="D37" s="3" t="s">
        <v>48</v>
      </c>
      <c r="E37" s="3">
        <v>566</v>
      </c>
      <c r="F37" s="3" t="s">
        <v>33</v>
      </c>
      <c r="G37" s="4">
        <v>71451</v>
      </c>
      <c r="H37" s="4">
        <v>40441266</v>
      </c>
      <c r="I37" s="4">
        <v>14108</v>
      </c>
      <c r="J37" s="4">
        <v>7985128</v>
      </c>
      <c r="K37" s="4">
        <v>34777</v>
      </c>
      <c r="L37" s="4">
        <v>19683782</v>
      </c>
      <c r="M37" s="4">
        <v>22566</v>
      </c>
      <c r="N37" s="4">
        <v>12772356</v>
      </c>
      <c r="O37" s="3" t="s">
        <v>49</v>
      </c>
      <c r="P37" s="11"/>
      <c r="Q37" s="11"/>
      <c r="R37" s="7"/>
      <c r="S37" s="7"/>
      <c r="T37" s="7"/>
      <c r="U37" s="7"/>
      <c r="V37" s="7"/>
      <c r="W37" s="7"/>
      <c r="X37" s="22"/>
      <c r="Y37" s="7"/>
      <c r="Z37" s="7"/>
      <c r="AA37" s="7"/>
      <c r="AB37" s="9"/>
      <c r="AC37" s="9"/>
      <c r="AD37" s="24"/>
      <c r="AE37" s="24"/>
      <c r="AF37" s="24"/>
      <c r="AG37" s="24"/>
      <c r="AH37" s="24"/>
      <c r="AI37" s="24"/>
      <c r="AJ37" s="24"/>
    </row>
    <row r="38" spans="1:36" x14ac:dyDescent="0.3">
      <c r="A38" s="12" t="s">
        <v>409</v>
      </c>
      <c r="B38" s="3" t="s">
        <v>365</v>
      </c>
      <c r="C38" s="3" t="s">
        <v>245</v>
      </c>
      <c r="D38" s="3" t="s">
        <v>50</v>
      </c>
      <c r="E38" s="3">
        <v>1</v>
      </c>
      <c r="F38" s="3" t="s">
        <v>36</v>
      </c>
      <c r="G38" s="4">
        <v>7639771</v>
      </c>
      <c r="H38" s="4">
        <v>7639771</v>
      </c>
      <c r="I38" s="4">
        <v>628272</v>
      </c>
      <c r="J38" s="4">
        <v>628272</v>
      </c>
      <c r="K38" s="4">
        <v>5977543</v>
      </c>
      <c r="L38" s="4">
        <v>5977543</v>
      </c>
      <c r="M38" s="4">
        <v>1033956</v>
      </c>
      <c r="N38" s="4">
        <v>1033956</v>
      </c>
      <c r="O38" s="3" t="s">
        <v>51</v>
      </c>
      <c r="P38" s="11"/>
      <c r="Q38" s="11"/>
      <c r="R38" s="7"/>
      <c r="S38" s="7"/>
      <c r="T38" s="7"/>
      <c r="U38" s="7"/>
      <c r="V38" s="7"/>
      <c r="W38" s="7"/>
      <c r="X38" s="22"/>
      <c r="Y38" s="7"/>
      <c r="Z38" s="7"/>
      <c r="AA38" s="7"/>
      <c r="AB38" s="9"/>
      <c r="AC38" s="9"/>
      <c r="AD38" s="24"/>
      <c r="AE38" s="24"/>
      <c r="AF38" s="24"/>
      <c r="AG38" s="24"/>
      <c r="AH38" s="24"/>
      <c r="AI38" s="24"/>
      <c r="AJ38" s="24"/>
    </row>
    <row r="39" spans="1:36" x14ac:dyDescent="0.3">
      <c r="A39" s="12" t="s">
        <v>409</v>
      </c>
      <c r="B39" s="3" t="s">
        <v>365</v>
      </c>
      <c r="C39" s="3" t="s">
        <v>245</v>
      </c>
      <c r="D39" s="3" t="s">
        <v>52</v>
      </c>
      <c r="E39" s="3">
        <v>1</v>
      </c>
      <c r="F39" s="3" t="s">
        <v>33</v>
      </c>
      <c r="G39" s="4">
        <v>5093181</v>
      </c>
      <c r="H39" s="4">
        <v>5093181</v>
      </c>
      <c r="I39" s="4">
        <v>418848</v>
      </c>
      <c r="J39" s="4">
        <v>418848</v>
      </c>
      <c r="K39" s="4">
        <v>3985029</v>
      </c>
      <c r="L39" s="4">
        <v>3985029</v>
      </c>
      <c r="M39" s="4">
        <v>689304</v>
      </c>
      <c r="N39" s="4">
        <v>689304</v>
      </c>
      <c r="O39" s="3" t="s">
        <v>53</v>
      </c>
      <c r="P39" s="11"/>
      <c r="Q39" s="11"/>
      <c r="R39" s="7"/>
      <c r="S39" s="7"/>
      <c r="T39" s="7"/>
      <c r="U39" s="7"/>
      <c r="V39" s="7"/>
      <c r="W39" s="7"/>
      <c r="X39" s="22"/>
      <c r="Y39" s="7"/>
      <c r="Z39" s="7"/>
      <c r="AA39" s="7"/>
      <c r="AB39" s="9"/>
      <c r="AC39" s="9"/>
      <c r="AD39" s="24"/>
      <c r="AE39" s="24"/>
      <c r="AF39" s="24"/>
      <c r="AG39" s="24"/>
      <c r="AH39" s="24"/>
      <c r="AI39" s="24"/>
      <c r="AJ39" s="24"/>
    </row>
    <row r="40" spans="1:36" x14ac:dyDescent="0.3">
      <c r="A40" s="12" t="s">
        <v>409</v>
      </c>
      <c r="B40" s="3" t="s">
        <v>366</v>
      </c>
      <c r="C40" s="3" t="s">
        <v>246</v>
      </c>
      <c r="D40" s="3" t="s">
        <v>54</v>
      </c>
      <c r="E40" s="3">
        <v>23.51</v>
      </c>
      <c r="F40" s="3" t="s">
        <v>55</v>
      </c>
      <c r="G40" s="4">
        <v>82554</v>
      </c>
      <c r="H40" s="4">
        <v>1940845</v>
      </c>
      <c r="I40" s="4">
        <v>82554</v>
      </c>
      <c r="J40" s="4">
        <v>1940845</v>
      </c>
      <c r="K40" s="4" t="s">
        <v>10</v>
      </c>
      <c r="L40" s="4">
        <v>0</v>
      </c>
      <c r="M40" s="4" t="s">
        <v>10</v>
      </c>
      <c r="N40" s="4">
        <v>0</v>
      </c>
      <c r="O40" s="3" t="s">
        <v>56</v>
      </c>
      <c r="P40" s="11"/>
      <c r="Q40" s="11"/>
      <c r="R40" s="7"/>
      <c r="S40" s="7"/>
      <c r="T40" s="7"/>
      <c r="U40" s="7"/>
      <c r="V40" s="7"/>
      <c r="W40" s="7"/>
      <c r="X40" s="22"/>
      <c r="Y40" s="7"/>
      <c r="Z40" s="7"/>
      <c r="AA40" s="7"/>
      <c r="AB40" s="9"/>
      <c r="AC40" s="9"/>
      <c r="AD40" s="24"/>
      <c r="AE40" s="24"/>
      <c r="AF40" s="24"/>
      <c r="AG40" s="24"/>
      <c r="AH40" s="24"/>
      <c r="AI40" s="24"/>
      <c r="AJ40" s="24"/>
    </row>
    <row r="41" spans="1:36" x14ac:dyDescent="0.3">
      <c r="A41" s="12" t="s">
        <v>409</v>
      </c>
      <c r="B41" s="3" t="s">
        <v>366</v>
      </c>
      <c r="C41" s="3" t="s">
        <v>246</v>
      </c>
      <c r="D41" s="3" t="s">
        <v>57</v>
      </c>
      <c r="E41" s="3">
        <v>449.12</v>
      </c>
      <c r="F41" s="3" t="s">
        <v>55</v>
      </c>
      <c r="G41" s="4">
        <v>94982</v>
      </c>
      <c r="H41" s="4">
        <v>42658316</v>
      </c>
      <c r="I41" s="4">
        <v>94982</v>
      </c>
      <c r="J41" s="4">
        <v>42658316</v>
      </c>
      <c r="K41" s="4" t="s">
        <v>10</v>
      </c>
      <c r="L41" s="4">
        <v>0</v>
      </c>
      <c r="M41" s="4" t="s">
        <v>10</v>
      </c>
      <c r="N41" s="4">
        <v>0</v>
      </c>
      <c r="O41" s="3" t="s">
        <v>58</v>
      </c>
      <c r="P41" s="11"/>
      <c r="Q41" s="11"/>
      <c r="R41" s="7"/>
      <c r="S41" s="7"/>
      <c r="T41" s="7"/>
      <c r="U41" s="7"/>
      <c r="V41" s="7"/>
      <c r="W41" s="7"/>
      <c r="X41" s="22"/>
      <c r="Y41" s="7"/>
      <c r="Z41" s="7"/>
      <c r="AA41" s="7"/>
      <c r="AB41" s="9"/>
      <c r="AC41" s="9"/>
      <c r="AD41" s="24"/>
      <c r="AE41" s="24"/>
      <c r="AF41" s="24"/>
      <c r="AG41" s="24"/>
      <c r="AH41" s="24"/>
      <c r="AI41" s="24"/>
      <c r="AJ41" s="24"/>
    </row>
    <row r="42" spans="1:36" x14ac:dyDescent="0.3">
      <c r="A42" s="12" t="s">
        <v>409</v>
      </c>
      <c r="B42" s="3" t="s">
        <v>366</v>
      </c>
      <c r="C42" s="3" t="s">
        <v>247</v>
      </c>
      <c r="D42" s="3" t="s">
        <v>59</v>
      </c>
      <c r="E42" s="3">
        <v>24</v>
      </c>
      <c r="F42" s="3" t="s">
        <v>30</v>
      </c>
      <c r="G42" s="4">
        <v>59000</v>
      </c>
      <c r="H42" s="4">
        <v>1416000</v>
      </c>
      <c r="I42" s="4" t="s">
        <v>10</v>
      </c>
      <c r="J42" s="4">
        <v>0</v>
      </c>
      <c r="K42" s="4" t="s">
        <v>10</v>
      </c>
      <c r="L42" s="4">
        <v>0</v>
      </c>
      <c r="M42" s="4">
        <v>59000</v>
      </c>
      <c r="N42" s="4">
        <v>1416000</v>
      </c>
      <c r="O42" s="3" t="s">
        <v>60</v>
      </c>
      <c r="P42" s="11"/>
      <c r="Q42" s="11"/>
      <c r="R42" s="7"/>
      <c r="S42" s="7"/>
      <c r="T42" s="7"/>
      <c r="U42" s="7"/>
      <c r="V42" s="7"/>
      <c r="W42" s="7"/>
      <c r="X42" s="22"/>
      <c r="Y42" s="7"/>
      <c r="Z42" s="7"/>
      <c r="AA42" s="7"/>
      <c r="AB42" s="9"/>
      <c r="AC42" s="9"/>
      <c r="AD42" s="24"/>
      <c r="AE42" s="24"/>
      <c r="AF42" s="24"/>
      <c r="AG42" s="24"/>
      <c r="AH42" s="24"/>
      <c r="AI42" s="24"/>
      <c r="AJ42" s="24"/>
    </row>
    <row r="43" spans="1:36" x14ac:dyDescent="0.3">
      <c r="A43" s="12" t="s">
        <v>409</v>
      </c>
      <c r="B43" s="3" t="s">
        <v>366</v>
      </c>
      <c r="C43" s="3" t="s">
        <v>248</v>
      </c>
      <c r="D43" s="3" t="s">
        <v>61</v>
      </c>
      <c r="E43" s="3">
        <v>2745.79</v>
      </c>
      <c r="F43" s="3" t="s">
        <v>62</v>
      </c>
      <c r="G43" s="4">
        <v>560</v>
      </c>
      <c r="H43" s="4">
        <v>1537642</v>
      </c>
      <c r="I43" s="4" t="s">
        <v>10</v>
      </c>
      <c r="J43" s="4">
        <v>0</v>
      </c>
      <c r="K43" s="4" t="s">
        <v>10</v>
      </c>
      <c r="L43" s="4">
        <v>0</v>
      </c>
      <c r="M43" s="4">
        <v>560</v>
      </c>
      <c r="N43" s="4">
        <v>1537642</v>
      </c>
      <c r="O43" s="3" t="s">
        <v>63</v>
      </c>
      <c r="P43" s="11"/>
      <c r="Q43" s="11"/>
      <c r="R43" s="7"/>
      <c r="S43" s="7"/>
      <c r="T43" s="7"/>
      <c r="U43" s="7"/>
      <c r="V43" s="7"/>
      <c r="W43" s="7"/>
      <c r="X43" s="22"/>
      <c r="Y43" s="7"/>
      <c r="Z43" s="7"/>
      <c r="AA43" s="7"/>
      <c r="AB43" s="9"/>
      <c r="AC43" s="9"/>
      <c r="AD43" s="24"/>
      <c r="AE43" s="24"/>
      <c r="AF43" s="24"/>
      <c r="AG43" s="24"/>
      <c r="AH43" s="24"/>
      <c r="AI43" s="24"/>
      <c r="AJ43" s="24"/>
    </row>
    <row r="44" spans="1:36" x14ac:dyDescent="0.3">
      <c r="A44" s="12" t="s">
        <v>409</v>
      </c>
      <c r="B44" s="3" t="s">
        <v>366</v>
      </c>
      <c r="C44" s="3" t="s">
        <v>249</v>
      </c>
      <c r="D44" s="3" t="s">
        <v>64</v>
      </c>
      <c r="E44" s="3">
        <v>2745.79</v>
      </c>
      <c r="F44" s="3" t="s">
        <v>62</v>
      </c>
      <c r="G44" s="4">
        <v>553</v>
      </c>
      <c r="H44" s="4">
        <v>1518422</v>
      </c>
      <c r="I44" s="4" t="s">
        <v>10</v>
      </c>
      <c r="J44" s="4">
        <v>0</v>
      </c>
      <c r="K44" s="4" t="s">
        <v>10</v>
      </c>
      <c r="L44" s="4">
        <v>0</v>
      </c>
      <c r="M44" s="4">
        <v>553</v>
      </c>
      <c r="N44" s="4">
        <v>1518422</v>
      </c>
      <c r="O44" s="3" t="s">
        <v>65</v>
      </c>
      <c r="P44" s="11"/>
      <c r="Q44" s="11"/>
      <c r="R44" s="7"/>
      <c r="S44" s="7"/>
      <c r="T44" s="7"/>
      <c r="U44" s="7"/>
      <c r="V44" s="7"/>
      <c r="W44" s="7"/>
      <c r="X44" s="22"/>
      <c r="Y44" s="7"/>
      <c r="Z44" s="7"/>
      <c r="AA44" s="7"/>
      <c r="AB44" s="9"/>
      <c r="AC44" s="9"/>
      <c r="AD44" s="24"/>
      <c r="AE44" s="24"/>
      <c r="AF44" s="24"/>
      <c r="AG44" s="24"/>
      <c r="AH44" s="24"/>
      <c r="AI44" s="24"/>
      <c r="AJ44" s="24"/>
    </row>
    <row r="45" spans="1:36" x14ac:dyDescent="0.3">
      <c r="A45" s="12" t="s">
        <v>409</v>
      </c>
      <c r="B45" s="3" t="s">
        <v>366</v>
      </c>
      <c r="C45" s="3" t="s">
        <v>250</v>
      </c>
      <c r="D45" s="3" t="s">
        <v>66</v>
      </c>
      <c r="E45" s="3">
        <v>2745.79</v>
      </c>
      <c r="F45" s="3" t="s">
        <v>14</v>
      </c>
      <c r="G45" s="4">
        <v>7400</v>
      </c>
      <c r="H45" s="4">
        <v>20318846</v>
      </c>
      <c r="I45" s="4">
        <v>7400</v>
      </c>
      <c r="J45" s="4">
        <v>20318846</v>
      </c>
      <c r="K45" s="4" t="s">
        <v>10</v>
      </c>
      <c r="L45" s="4">
        <v>0</v>
      </c>
      <c r="M45" s="4" t="s">
        <v>10</v>
      </c>
      <c r="N45" s="4">
        <v>0</v>
      </c>
      <c r="O45" s="3" t="s">
        <v>67</v>
      </c>
      <c r="P45" s="11"/>
      <c r="Q45" s="11"/>
      <c r="R45" s="7"/>
      <c r="S45" s="7"/>
      <c r="T45" s="7"/>
      <c r="U45" s="7"/>
      <c r="V45" s="7"/>
      <c r="W45" s="7"/>
      <c r="X45" s="22"/>
      <c r="Y45" s="7"/>
      <c r="Z45" s="7"/>
      <c r="AA45" s="7"/>
      <c r="AB45" s="9"/>
      <c r="AC45" s="9"/>
      <c r="AD45" s="24"/>
      <c r="AE45" s="24"/>
      <c r="AF45" s="24"/>
      <c r="AG45" s="24"/>
      <c r="AH45" s="24"/>
      <c r="AI45" s="24"/>
      <c r="AJ45" s="24"/>
    </row>
    <row r="46" spans="1:36" x14ac:dyDescent="0.3">
      <c r="A46" s="12" t="s">
        <v>409</v>
      </c>
      <c r="B46" s="3" t="s">
        <v>366</v>
      </c>
      <c r="C46" s="3" t="s">
        <v>251</v>
      </c>
      <c r="D46" s="3" t="s">
        <v>68</v>
      </c>
      <c r="E46" s="3">
        <v>9.56</v>
      </c>
      <c r="F46" s="3" t="s">
        <v>69</v>
      </c>
      <c r="G46" s="4">
        <v>31787</v>
      </c>
      <c r="H46" s="4">
        <v>303884</v>
      </c>
      <c r="I46" s="4">
        <v>5086</v>
      </c>
      <c r="J46" s="4">
        <v>48622</v>
      </c>
      <c r="K46" s="4">
        <v>26701</v>
      </c>
      <c r="L46" s="4">
        <v>255262</v>
      </c>
      <c r="M46" s="4" t="s">
        <v>10</v>
      </c>
      <c r="N46" s="4">
        <v>0</v>
      </c>
      <c r="O46" s="3" t="s">
        <v>70</v>
      </c>
      <c r="P46" s="11"/>
      <c r="Q46" s="11"/>
      <c r="R46" s="7"/>
      <c r="S46" s="7"/>
      <c r="T46" s="7"/>
      <c r="U46" s="7"/>
      <c r="V46" s="7"/>
      <c r="W46" s="7"/>
      <c r="X46" s="22"/>
      <c r="Y46" s="7"/>
      <c r="Z46" s="7"/>
      <c r="AA46" s="7"/>
      <c r="AB46" s="9"/>
      <c r="AC46" s="9"/>
      <c r="AD46" s="24"/>
      <c r="AE46" s="24"/>
      <c r="AF46" s="24"/>
      <c r="AG46" s="24"/>
      <c r="AH46" s="24"/>
      <c r="AI46" s="24"/>
      <c r="AJ46" s="24"/>
    </row>
    <row r="47" spans="1:36" x14ac:dyDescent="0.3">
      <c r="A47" s="12" t="s">
        <v>409</v>
      </c>
      <c r="B47" s="3" t="s">
        <v>366</v>
      </c>
      <c r="C47" s="3" t="s">
        <v>251</v>
      </c>
      <c r="D47" s="3" t="s">
        <v>71</v>
      </c>
      <c r="E47" s="3">
        <v>103.4</v>
      </c>
      <c r="F47" s="3" t="s">
        <v>69</v>
      </c>
      <c r="G47" s="4">
        <v>36337</v>
      </c>
      <c r="H47" s="4">
        <v>3757246</v>
      </c>
      <c r="I47" s="4">
        <v>5814</v>
      </c>
      <c r="J47" s="4">
        <v>601168</v>
      </c>
      <c r="K47" s="4">
        <v>30523</v>
      </c>
      <c r="L47" s="4">
        <v>3156078</v>
      </c>
      <c r="M47" s="4" t="s">
        <v>10</v>
      </c>
      <c r="N47" s="4">
        <v>0</v>
      </c>
      <c r="O47" s="3" t="s">
        <v>72</v>
      </c>
      <c r="P47" s="11"/>
      <c r="Q47" s="11"/>
      <c r="R47" s="7"/>
      <c r="S47" s="7"/>
      <c r="T47" s="7"/>
      <c r="U47" s="7"/>
      <c r="V47" s="7"/>
      <c r="W47" s="7"/>
      <c r="X47" s="22"/>
      <c r="Y47" s="7"/>
      <c r="Z47" s="7"/>
      <c r="AA47" s="7"/>
      <c r="AB47" s="9"/>
      <c r="AC47" s="9"/>
      <c r="AD47" s="24"/>
      <c r="AE47" s="24"/>
      <c r="AF47" s="24"/>
      <c r="AG47" s="24"/>
      <c r="AH47" s="24"/>
      <c r="AI47" s="24"/>
      <c r="AJ47" s="24"/>
    </row>
    <row r="48" spans="1:36" x14ac:dyDescent="0.3">
      <c r="A48" s="12" t="s">
        <v>409</v>
      </c>
      <c r="B48" s="3" t="s">
        <v>365</v>
      </c>
      <c r="C48" s="3" t="s">
        <v>252</v>
      </c>
      <c r="D48" s="3" t="s">
        <v>73</v>
      </c>
      <c r="E48" s="3">
        <v>242.76</v>
      </c>
      <c r="F48" s="3" t="s">
        <v>55</v>
      </c>
      <c r="G48" s="4">
        <v>19370</v>
      </c>
      <c r="H48" s="4">
        <v>4702261</v>
      </c>
      <c r="I48" s="4">
        <v>1960</v>
      </c>
      <c r="J48" s="4">
        <v>475810</v>
      </c>
      <c r="K48" s="4">
        <v>12977</v>
      </c>
      <c r="L48" s="4">
        <v>3150297</v>
      </c>
      <c r="M48" s="4">
        <v>4433</v>
      </c>
      <c r="N48" s="4">
        <v>1076155</v>
      </c>
      <c r="O48" s="3" t="s">
        <v>74</v>
      </c>
      <c r="P48" s="11"/>
      <c r="Q48" s="11"/>
      <c r="R48" s="7"/>
      <c r="S48" s="7"/>
      <c r="T48" s="7"/>
      <c r="U48" s="7"/>
      <c r="V48" s="7"/>
      <c r="W48" s="7"/>
      <c r="X48" s="22"/>
      <c r="Y48" s="7"/>
      <c r="Z48" s="7"/>
      <c r="AA48" s="7"/>
      <c r="AB48" s="9"/>
      <c r="AC48" s="9"/>
      <c r="AD48" s="24"/>
      <c r="AE48" s="24"/>
      <c r="AF48" s="24"/>
      <c r="AG48" s="24"/>
      <c r="AH48" s="24"/>
      <c r="AI48" s="24"/>
      <c r="AJ48" s="24"/>
    </row>
    <row r="49" spans="1:36" x14ac:dyDescent="0.3">
      <c r="A49" s="12" t="s">
        <v>409</v>
      </c>
      <c r="B49" s="3" t="s">
        <v>365</v>
      </c>
      <c r="C49" s="3" t="s">
        <v>253</v>
      </c>
      <c r="D49" s="3" t="s">
        <v>10</v>
      </c>
      <c r="E49" s="3">
        <v>221</v>
      </c>
      <c r="F49" s="3" t="s">
        <v>69</v>
      </c>
      <c r="G49" s="4">
        <v>1389</v>
      </c>
      <c r="H49" s="4">
        <v>306969</v>
      </c>
      <c r="I49" s="4">
        <v>192</v>
      </c>
      <c r="J49" s="4">
        <v>42432</v>
      </c>
      <c r="K49" s="4">
        <v>1197</v>
      </c>
      <c r="L49" s="4">
        <v>264537</v>
      </c>
      <c r="M49" s="4" t="s">
        <v>10</v>
      </c>
      <c r="N49" s="4">
        <v>0</v>
      </c>
      <c r="O49" s="3" t="s">
        <v>75</v>
      </c>
      <c r="P49" s="11"/>
      <c r="Q49" s="11"/>
      <c r="R49" s="7"/>
      <c r="S49" s="7"/>
      <c r="T49" s="7"/>
      <c r="U49" s="7"/>
      <c r="V49" s="7"/>
      <c r="W49" s="7"/>
      <c r="X49" s="22"/>
      <c r="Y49" s="7"/>
      <c r="Z49" s="7"/>
      <c r="AA49" s="7"/>
      <c r="AB49" s="9"/>
      <c r="AC49" s="9"/>
      <c r="AD49" s="24"/>
      <c r="AE49" s="24"/>
      <c r="AF49" s="24"/>
      <c r="AG49" s="24"/>
      <c r="AH49" s="24"/>
      <c r="AI49" s="24"/>
      <c r="AJ49" s="24"/>
    </row>
    <row r="50" spans="1:36" x14ac:dyDescent="0.3">
      <c r="A50" s="12" t="s">
        <v>409</v>
      </c>
      <c r="B50" s="3" t="s">
        <v>365</v>
      </c>
      <c r="C50" s="3" t="s">
        <v>254</v>
      </c>
      <c r="D50" s="3" t="s">
        <v>76</v>
      </c>
      <c r="E50" s="3">
        <v>23.05</v>
      </c>
      <c r="F50" s="3" t="s">
        <v>55</v>
      </c>
      <c r="G50" s="4">
        <v>25145</v>
      </c>
      <c r="H50" s="4">
        <v>579592</v>
      </c>
      <c r="I50" s="4">
        <v>2205</v>
      </c>
      <c r="J50" s="4">
        <v>50825</v>
      </c>
      <c r="K50" s="4">
        <v>20116</v>
      </c>
      <c r="L50" s="4">
        <v>463674</v>
      </c>
      <c r="M50" s="4">
        <v>2824</v>
      </c>
      <c r="N50" s="4">
        <v>65093</v>
      </c>
      <c r="O50" s="3" t="s">
        <v>77</v>
      </c>
      <c r="P50" s="11"/>
      <c r="Q50" s="11"/>
      <c r="R50" s="7"/>
      <c r="S50" s="7"/>
      <c r="T50" s="7"/>
      <c r="U50" s="7"/>
      <c r="V50" s="7"/>
      <c r="W50" s="7"/>
      <c r="X50" s="22"/>
      <c r="Y50" s="7"/>
      <c r="Z50" s="7"/>
      <c r="AA50" s="7"/>
      <c r="AB50" s="9"/>
      <c r="AC50" s="9"/>
      <c r="AD50" s="24"/>
      <c r="AE50" s="24"/>
      <c r="AF50" s="24"/>
      <c r="AG50" s="24"/>
      <c r="AH50" s="24"/>
      <c r="AI50" s="24"/>
      <c r="AJ50" s="24"/>
    </row>
    <row r="51" spans="1:36" x14ac:dyDescent="0.3">
      <c r="A51" s="12">
        <v>7</v>
      </c>
      <c r="B51" s="3" t="s">
        <v>428</v>
      </c>
      <c r="C51" s="3" t="s">
        <v>255</v>
      </c>
      <c r="D51" s="3" t="s">
        <v>10</v>
      </c>
      <c r="E51" s="3" t="s">
        <v>10</v>
      </c>
      <c r="F51" s="3" t="s">
        <v>10</v>
      </c>
      <c r="G51" s="4" t="s">
        <v>10</v>
      </c>
      <c r="H51" s="4">
        <v>173531245</v>
      </c>
      <c r="I51" s="4" t="s">
        <v>10</v>
      </c>
      <c r="J51" s="4">
        <v>115355115</v>
      </c>
      <c r="K51" s="4" t="s">
        <v>10</v>
      </c>
      <c r="L51" s="4">
        <v>55647148</v>
      </c>
      <c r="M51" s="4" t="s">
        <v>10</v>
      </c>
      <c r="N51" s="4">
        <v>2528982</v>
      </c>
      <c r="O51" s="3" t="s">
        <v>10</v>
      </c>
      <c r="P51" s="11">
        <v>46028</v>
      </c>
      <c r="Q51" s="11">
        <v>46035</v>
      </c>
      <c r="R51" s="22">
        <v>7</v>
      </c>
      <c r="S51" s="7"/>
      <c r="T51" s="7"/>
      <c r="U51" s="7"/>
      <c r="V51" s="20" t="s">
        <v>339</v>
      </c>
      <c r="W51" s="20" t="s">
        <v>354</v>
      </c>
      <c r="X51" s="22" t="s">
        <v>414</v>
      </c>
      <c r="Y51" s="19"/>
      <c r="Z51" s="7"/>
      <c r="AA51" s="7"/>
      <c r="AB51" s="9"/>
      <c r="AC51" s="9"/>
      <c r="AD51" s="24"/>
      <c r="AE51" s="24"/>
      <c r="AF51" s="24"/>
      <c r="AG51" s="24"/>
      <c r="AH51" s="24"/>
      <c r="AI51" s="24"/>
      <c r="AJ51" s="24"/>
    </row>
    <row r="52" spans="1:36" x14ac:dyDescent="0.3">
      <c r="A52" s="12" t="s">
        <v>409</v>
      </c>
      <c r="B52" s="3" t="s">
        <v>367</v>
      </c>
      <c r="C52" s="3" t="s">
        <v>256</v>
      </c>
      <c r="D52" s="3" t="s">
        <v>78</v>
      </c>
      <c r="E52" s="3">
        <v>46.81</v>
      </c>
      <c r="F52" s="3" t="s">
        <v>55</v>
      </c>
      <c r="G52" s="4">
        <v>11540</v>
      </c>
      <c r="H52" s="4">
        <v>540187</v>
      </c>
      <c r="I52" s="4">
        <v>965</v>
      </c>
      <c r="J52" s="4">
        <v>45172</v>
      </c>
      <c r="K52" s="4">
        <v>9533</v>
      </c>
      <c r="L52" s="4">
        <v>446240</v>
      </c>
      <c r="M52" s="4">
        <v>1042</v>
      </c>
      <c r="N52" s="4">
        <v>48776</v>
      </c>
      <c r="O52" s="3" t="s">
        <v>79</v>
      </c>
      <c r="P52" s="11"/>
      <c r="Q52" s="11"/>
      <c r="R52" s="7"/>
      <c r="S52" s="7"/>
      <c r="T52" s="7"/>
      <c r="U52" s="7"/>
      <c r="V52" s="7"/>
      <c r="W52" s="7"/>
      <c r="X52" s="22"/>
      <c r="Y52" s="7"/>
      <c r="Z52" s="7"/>
      <c r="AA52" s="7"/>
      <c r="AB52" s="9"/>
      <c r="AC52" s="9"/>
      <c r="AD52" s="24"/>
      <c r="AE52" s="24"/>
      <c r="AF52" s="24"/>
      <c r="AG52" s="24"/>
      <c r="AH52" s="24"/>
      <c r="AI52" s="24"/>
      <c r="AJ52" s="24"/>
    </row>
    <row r="53" spans="1:36" x14ac:dyDescent="0.3">
      <c r="A53" s="12" t="s">
        <v>409</v>
      </c>
      <c r="B53" s="3" t="s">
        <v>368</v>
      </c>
      <c r="C53" s="3" t="s">
        <v>246</v>
      </c>
      <c r="D53" s="3" t="s">
        <v>54</v>
      </c>
      <c r="E53" s="3">
        <v>30.02</v>
      </c>
      <c r="F53" s="3" t="s">
        <v>14</v>
      </c>
      <c r="G53" s="4">
        <v>82554</v>
      </c>
      <c r="H53" s="4">
        <v>2478271</v>
      </c>
      <c r="I53" s="4">
        <v>82554</v>
      </c>
      <c r="J53" s="4">
        <v>2478271</v>
      </c>
      <c r="K53" s="4" t="s">
        <v>10</v>
      </c>
      <c r="L53" s="4">
        <v>0</v>
      </c>
      <c r="M53" s="4" t="s">
        <v>10</v>
      </c>
      <c r="N53" s="4">
        <v>0</v>
      </c>
      <c r="O53" s="3" t="s">
        <v>56</v>
      </c>
      <c r="P53" s="11"/>
      <c r="Q53" s="11"/>
      <c r="R53" s="7"/>
      <c r="S53" s="7"/>
      <c r="T53" s="7"/>
      <c r="U53" s="7"/>
      <c r="V53" s="7"/>
      <c r="W53" s="7"/>
      <c r="X53" s="22"/>
      <c r="Y53" s="7"/>
      <c r="Z53" s="7"/>
      <c r="AA53" s="7"/>
      <c r="AB53" s="9"/>
      <c r="AC53" s="9"/>
      <c r="AD53" s="24"/>
      <c r="AE53" s="24"/>
      <c r="AF53" s="24"/>
      <c r="AG53" s="24"/>
      <c r="AH53" s="24"/>
      <c r="AI53" s="24"/>
      <c r="AJ53" s="24"/>
    </row>
    <row r="54" spans="1:36" x14ac:dyDescent="0.3">
      <c r="A54" s="12" t="s">
        <v>409</v>
      </c>
      <c r="B54" s="3" t="s">
        <v>368</v>
      </c>
      <c r="C54" s="3" t="s">
        <v>246</v>
      </c>
      <c r="D54" s="3" t="s">
        <v>80</v>
      </c>
      <c r="E54" s="3">
        <v>186.2</v>
      </c>
      <c r="F54" s="3" t="s">
        <v>14</v>
      </c>
      <c r="G54" s="4">
        <v>88936</v>
      </c>
      <c r="H54" s="4">
        <v>16559883</v>
      </c>
      <c r="I54" s="4">
        <v>88936</v>
      </c>
      <c r="J54" s="4">
        <v>16559883</v>
      </c>
      <c r="K54" s="4" t="s">
        <v>10</v>
      </c>
      <c r="L54" s="4">
        <v>0</v>
      </c>
      <c r="M54" s="4" t="s">
        <v>10</v>
      </c>
      <c r="N54" s="4">
        <v>0</v>
      </c>
      <c r="O54" s="3" t="s">
        <v>81</v>
      </c>
      <c r="P54" s="11"/>
      <c r="Q54" s="11"/>
      <c r="R54" s="7"/>
      <c r="S54" s="7"/>
      <c r="T54" s="7"/>
      <c r="U54" s="7"/>
      <c r="V54" s="7"/>
      <c r="W54" s="7"/>
      <c r="X54" s="22"/>
      <c r="Y54" s="7"/>
      <c r="Z54" s="7"/>
      <c r="AA54" s="7"/>
      <c r="AB54" s="9"/>
      <c r="AC54" s="9"/>
      <c r="AD54" s="24"/>
      <c r="AE54" s="24"/>
      <c r="AF54" s="24"/>
      <c r="AG54" s="24"/>
      <c r="AH54" s="24"/>
      <c r="AI54" s="24"/>
      <c r="AJ54" s="24"/>
    </row>
    <row r="55" spans="1:36" x14ac:dyDescent="0.3">
      <c r="A55" s="12" t="s">
        <v>409</v>
      </c>
      <c r="B55" s="3" t="s">
        <v>368</v>
      </c>
      <c r="C55" s="3" t="s">
        <v>246</v>
      </c>
      <c r="D55" s="3" t="s">
        <v>82</v>
      </c>
      <c r="E55" s="3">
        <v>270.02</v>
      </c>
      <c r="F55" s="3" t="s">
        <v>55</v>
      </c>
      <c r="G55" s="4">
        <v>98164</v>
      </c>
      <c r="H55" s="4">
        <v>26506243</v>
      </c>
      <c r="I55" s="4">
        <v>98164</v>
      </c>
      <c r="J55" s="4">
        <v>26506243</v>
      </c>
      <c r="K55" s="4" t="s">
        <v>10</v>
      </c>
      <c r="L55" s="4">
        <v>0</v>
      </c>
      <c r="M55" s="4" t="s">
        <v>10</v>
      </c>
      <c r="N55" s="4">
        <v>0</v>
      </c>
      <c r="O55" s="3" t="s">
        <v>83</v>
      </c>
      <c r="P55" s="11"/>
      <c r="Q55" s="11"/>
      <c r="R55" s="7"/>
      <c r="S55" s="7"/>
      <c r="T55" s="7"/>
      <c r="U55" s="7"/>
      <c r="V55" s="7"/>
      <c r="W55" s="7"/>
      <c r="X55" s="22"/>
      <c r="Y55" s="7"/>
      <c r="Z55" s="7"/>
      <c r="AA55" s="7"/>
      <c r="AB55" s="9"/>
      <c r="AC55" s="9"/>
      <c r="AD55" s="24"/>
      <c r="AE55" s="24"/>
      <c r="AF55" s="24"/>
      <c r="AG55" s="24"/>
      <c r="AH55" s="24"/>
      <c r="AI55" s="24"/>
      <c r="AJ55" s="24"/>
    </row>
    <row r="56" spans="1:36" x14ac:dyDescent="0.3">
      <c r="A56" s="12" t="s">
        <v>409</v>
      </c>
      <c r="B56" s="3" t="s">
        <v>368</v>
      </c>
      <c r="C56" s="3" t="s">
        <v>257</v>
      </c>
      <c r="D56" s="3" t="s">
        <v>84</v>
      </c>
      <c r="E56" s="3">
        <v>312.62</v>
      </c>
      <c r="F56" s="3" t="s">
        <v>69</v>
      </c>
      <c r="G56" s="4">
        <v>108218</v>
      </c>
      <c r="H56" s="4">
        <v>33831111</v>
      </c>
      <c r="I56" s="4">
        <v>45888</v>
      </c>
      <c r="J56" s="4">
        <v>14345507</v>
      </c>
      <c r="K56" s="4">
        <v>61952</v>
      </c>
      <c r="L56" s="4">
        <v>19367434</v>
      </c>
      <c r="M56" s="4">
        <v>378</v>
      </c>
      <c r="N56" s="4">
        <v>118170</v>
      </c>
      <c r="O56" s="3" t="s">
        <v>85</v>
      </c>
      <c r="P56" s="11"/>
      <c r="Q56" s="11"/>
      <c r="R56" s="7"/>
      <c r="S56" s="7"/>
      <c r="T56" s="7"/>
      <c r="U56" s="7"/>
      <c r="V56" s="7"/>
      <c r="W56" s="7"/>
      <c r="X56" s="22"/>
      <c r="Y56" s="7"/>
      <c r="Z56" s="7"/>
      <c r="AA56" s="7"/>
      <c r="AB56" s="9"/>
      <c r="AC56" s="9"/>
      <c r="AD56" s="24"/>
      <c r="AE56" s="24"/>
      <c r="AF56" s="24"/>
      <c r="AG56" s="24"/>
      <c r="AH56" s="24"/>
      <c r="AI56" s="24"/>
      <c r="AJ56" s="24"/>
    </row>
    <row r="57" spans="1:36" x14ac:dyDescent="0.3">
      <c r="A57" s="12" t="s">
        <v>409</v>
      </c>
      <c r="B57" s="3" t="s">
        <v>367</v>
      </c>
      <c r="C57" s="3" t="s">
        <v>258</v>
      </c>
      <c r="D57" s="3" t="s">
        <v>86</v>
      </c>
      <c r="E57" s="3">
        <v>172.3</v>
      </c>
      <c r="F57" s="3" t="s">
        <v>36</v>
      </c>
      <c r="G57" s="4">
        <v>209091</v>
      </c>
      <c r="H57" s="4">
        <v>36026379</v>
      </c>
      <c r="I57" s="4">
        <v>209091</v>
      </c>
      <c r="J57" s="4">
        <v>36026379</v>
      </c>
      <c r="K57" s="4" t="s">
        <v>10</v>
      </c>
      <c r="L57" s="4">
        <v>0</v>
      </c>
      <c r="M57" s="4" t="s">
        <v>10</v>
      </c>
      <c r="N57" s="4">
        <v>0</v>
      </c>
      <c r="O57" s="3" t="s">
        <v>87</v>
      </c>
      <c r="P57" s="11"/>
      <c r="Q57" s="11"/>
      <c r="R57" s="7"/>
      <c r="S57" s="7"/>
      <c r="T57" s="7"/>
      <c r="U57" s="7"/>
      <c r="V57" s="7"/>
      <c r="W57" s="7"/>
      <c r="X57" s="22"/>
      <c r="Y57" s="7"/>
      <c r="Z57" s="7"/>
      <c r="AA57" s="7"/>
      <c r="AB57" s="9"/>
      <c r="AC57" s="9"/>
      <c r="AD57" s="24"/>
      <c r="AE57" s="24"/>
      <c r="AF57" s="24"/>
      <c r="AG57" s="24"/>
      <c r="AH57" s="24"/>
      <c r="AI57" s="24"/>
      <c r="AJ57" s="24"/>
    </row>
    <row r="58" spans="1:36" x14ac:dyDescent="0.3">
      <c r="A58" s="12" t="s">
        <v>409</v>
      </c>
      <c r="B58" s="3" t="s">
        <v>367</v>
      </c>
      <c r="C58" s="3" t="s">
        <v>259</v>
      </c>
      <c r="D58" s="3" t="s">
        <v>88</v>
      </c>
      <c r="E58" s="3">
        <v>74</v>
      </c>
      <c r="F58" s="3" t="s">
        <v>69</v>
      </c>
      <c r="G58" s="4">
        <v>2204</v>
      </c>
      <c r="H58" s="4">
        <v>163096</v>
      </c>
      <c r="I58" s="4">
        <v>1976</v>
      </c>
      <c r="J58" s="4">
        <v>146224</v>
      </c>
      <c r="K58" s="4">
        <v>228</v>
      </c>
      <c r="L58" s="4">
        <v>16872</v>
      </c>
      <c r="M58" s="4" t="s">
        <v>10</v>
      </c>
      <c r="N58" s="4">
        <v>0</v>
      </c>
      <c r="O58" s="3" t="s">
        <v>89</v>
      </c>
      <c r="P58" s="11"/>
      <c r="Q58" s="11"/>
      <c r="R58" s="7"/>
      <c r="S58" s="7"/>
      <c r="T58" s="7"/>
      <c r="U58" s="7"/>
      <c r="V58" s="7"/>
      <c r="W58" s="7"/>
      <c r="X58" s="22"/>
      <c r="Y58" s="7"/>
      <c r="Z58" s="7"/>
      <c r="AA58" s="7"/>
      <c r="AB58" s="9"/>
      <c r="AC58" s="9"/>
      <c r="AD58" s="24"/>
      <c r="AE58" s="24"/>
      <c r="AF58" s="24"/>
      <c r="AG58" s="24"/>
      <c r="AH58" s="24"/>
      <c r="AI58" s="24"/>
      <c r="AJ58" s="24"/>
    </row>
    <row r="59" spans="1:36" x14ac:dyDescent="0.3">
      <c r="A59" s="12" t="s">
        <v>409</v>
      </c>
      <c r="B59" s="3" t="s">
        <v>367</v>
      </c>
      <c r="C59" s="3" t="s">
        <v>260</v>
      </c>
      <c r="D59" s="3" t="s">
        <v>90</v>
      </c>
      <c r="E59" s="3">
        <v>1100.9000000000001</v>
      </c>
      <c r="F59" s="3" t="s">
        <v>91</v>
      </c>
      <c r="G59" s="4">
        <v>1760</v>
      </c>
      <c r="H59" s="4">
        <v>1937584</v>
      </c>
      <c r="I59" s="4">
        <v>1760</v>
      </c>
      <c r="J59" s="4">
        <v>1937584</v>
      </c>
      <c r="K59" s="4" t="s">
        <v>10</v>
      </c>
      <c r="L59" s="4">
        <v>0</v>
      </c>
      <c r="M59" s="4" t="s">
        <v>10</v>
      </c>
      <c r="N59" s="4">
        <v>0</v>
      </c>
      <c r="O59" s="3" t="s">
        <v>92</v>
      </c>
      <c r="P59" s="11"/>
      <c r="Q59" s="11"/>
      <c r="R59" s="7"/>
      <c r="S59" s="7"/>
      <c r="T59" s="7"/>
      <c r="U59" s="7"/>
      <c r="V59" s="7"/>
      <c r="W59" s="7"/>
      <c r="X59" s="22"/>
      <c r="Y59" s="7"/>
      <c r="Z59" s="7"/>
      <c r="AA59" s="7"/>
      <c r="AB59" s="9"/>
      <c r="AC59" s="9"/>
      <c r="AD59" s="24"/>
      <c r="AE59" s="24"/>
      <c r="AF59" s="24"/>
      <c r="AG59" s="24"/>
      <c r="AH59" s="24"/>
      <c r="AI59" s="24"/>
      <c r="AJ59" s="24"/>
    </row>
    <row r="60" spans="1:36" x14ac:dyDescent="0.3">
      <c r="A60" s="12" t="s">
        <v>409</v>
      </c>
      <c r="B60" s="3" t="s">
        <v>367</v>
      </c>
      <c r="C60" s="3" t="s">
        <v>260</v>
      </c>
      <c r="D60" s="3" t="s">
        <v>93</v>
      </c>
      <c r="E60" s="3">
        <v>497.74</v>
      </c>
      <c r="F60" s="3" t="s">
        <v>69</v>
      </c>
      <c r="G60" s="4">
        <v>584</v>
      </c>
      <c r="H60" s="4">
        <v>290680</v>
      </c>
      <c r="I60" s="4">
        <v>584</v>
      </c>
      <c r="J60" s="4">
        <v>290680</v>
      </c>
      <c r="K60" s="4" t="s">
        <v>10</v>
      </c>
      <c r="L60" s="4">
        <v>0</v>
      </c>
      <c r="M60" s="4" t="s">
        <v>10</v>
      </c>
      <c r="N60" s="4">
        <v>0</v>
      </c>
      <c r="O60" s="3" t="s">
        <v>94</v>
      </c>
      <c r="P60" s="11"/>
      <c r="Q60" s="11"/>
      <c r="R60" s="7"/>
      <c r="S60" s="7"/>
      <c r="T60" s="7"/>
      <c r="U60" s="7"/>
      <c r="V60" s="7"/>
      <c r="W60" s="7"/>
      <c r="X60" s="22"/>
      <c r="Y60" s="7"/>
      <c r="Z60" s="7"/>
      <c r="AA60" s="7"/>
      <c r="AB60" s="9"/>
      <c r="AC60" s="9"/>
      <c r="AD60" s="24"/>
      <c r="AE60" s="24"/>
      <c r="AF60" s="24"/>
      <c r="AG60" s="24"/>
      <c r="AH60" s="24"/>
      <c r="AI60" s="24"/>
      <c r="AJ60" s="24"/>
    </row>
    <row r="61" spans="1:36" x14ac:dyDescent="0.3">
      <c r="A61" s="12" t="s">
        <v>409</v>
      </c>
      <c r="B61" s="3" t="s">
        <v>368</v>
      </c>
      <c r="C61" s="3" t="s">
        <v>261</v>
      </c>
      <c r="D61" s="3" t="s">
        <v>95</v>
      </c>
      <c r="E61" s="3">
        <v>99</v>
      </c>
      <c r="F61" s="3" t="s">
        <v>96</v>
      </c>
      <c r="G61" s="4">
        <v>2065</v>
      </c>
      <c r="H61" s="4">
        <v>204435</v>
      </c>
      <c r="I61" s="4">
        <v>2065</v>
      </c>
      <c r="J61" s="4">
        <v>204435</v>
      </c>
      <c r="K61" s="4" t="s">
        <v>10</v>
      </c>
      <c r="L61" s="4">
        <v>0</v>
      </c>
      <c r="M61" s="4" t="s">
        <v>10</v>
      </c>
      <c r="N61" s="4">
        <v>0</v>
      </c>
      <c r="O61" s="3" t="s">
        <v>97</v>
      </c>
      <c r="P61" s="11"/>
      <c r="Q61" s="11"/>
      <c r="R61" s="7"/>
      <c r="S61" s="7"/>
      <c r="T61" s="7"/>
      <c r="U61" s="7"/>
      <c r="V61" s="7"/>
      <c r="W61" s="7"/>
      <c r="X61" s="22"/>
      <c r="Y61" s="7"/>
      <c r="Z61" s="7"/>
      <c r="AA61" s="7"/>
      <c r="AB61" s="9"/>
      <c r="AC61" s="9"/>
      <c r="AD61" s="24"/>
      <c r="AE61" s="24"/>
      <c r="AF61" s="24"/>
      <c r="AG61" s="24"/>
      <c r="AH61" s="24"/>
      <c r="AI61" s="24"/>
      <c r="AJ61" s="24"/>
    </row>
    <row r="62" spans="1:36" x14ac:dyDescent="0.3">
      <c r="A62" s="12" t="s">
        <v>409</v>
      </c>
      <c r="B62" s="3" t="s">
        <v>368</v>
      </c>
      <c r="C62" s="3" t="s">
        <v>262</v>
      </c>
      <c r="D62" s="3" t="s">
        <v>98</v>
      </c>
      <c r="E62" s="3">
        <v>99</v>
      </c>
      <c r="F62" s="3" t="s">
        <v>69</v>
      </c>
      <c r="G62" s="4">
        <v>22887</v>
      </c>
      <c r="H62" s="4">
        <v>2265813</v>
      </c>
      <c r="I62" s="4">
        <v>222</v>
      </c>
      <c r="J62" s="4">
        <v>21978</v>
      </c>
      <c r="K62" s="4">
        <v>21742</v>
      </c>
      <c r="L62" s="4">
        <v>2152458</v>
      </c>
      <c r="M62" s="4">
        <v>923</v>
      </c>
      <c r="N62" s="4">
        <v>91377</v>
      </c>
      <c r="O62" s="3" t="s">
        <v>99</v>
      </c>
      <c r="P62" s="11"/>
      <c r="Q62" s="11"/>
      <c r="R62" s="7"/>
      <c r="S62" s="7"/>
      <c r="T62" s="7"/>
      <c r="U62" s="7"/>
      <c r="V62" s="7"/>
      <c r="W62" s="7"/>
      <c r="X62" s="22"/>
      <c r="Y62" s="7"/>
      <c r="Z62" s="7"/>
      <c r="AA62" s="7"/>
      <c r="AB62" s="9"/>
      <c r="AC62" s="9"/>
      <c r="AD62" s="24"/>
      <c r="AE62" s="24"/>
      <c r="AF62" s="24"/>
      <c r="AG62" s="24"/>
      <c r="AH62" s="24"/>
      <c r="AI62" s="24"/>
      <c r="AJ62" s="24"/>
    </row>
    <row r="63" spans="1:36" x14ac:dyDescent="0.3">
      <c r="A63" s="12" t="s">
        <v>409</v>
      </c>
      <c r="B63" s="3" t="s">
        <v>367</v>
      </c>
      <c r="C63" s="3" t="s">
        <v>263</v>
      </c>
      <c r="D63" s="3" t="s">
        <v>100</v>
      </c>
      <c r="E63" s="3">
        <v>873.16</v>
      </c>
      <c r="F63" s="3" t="s">
        <v>96</v>
      </c>
      <c r="G63" s="4">
        <v>17689</v>
      </c>
      <c r="H63" s="4">
        <v>15445327</v>
      </c>
      <c r="I63" s="4">
        <v>4545</v>
      </c>
      <c r="J63" s="4">
        <v>3968512</v>
      </c>
      <c r="K63" s="4">
        <v>12887</v>
      </c>
      <c r="L63" s="4">
        <v>11252413</v>
      </c>
      <c r="M63" s="4">
        <v>257</v>
      </c>
      <c r="N63" s="4">
        <v>224402</v>
      </c>
      <c r="O63" s="3" t="s">
        <v>101</v>
      </c>
      <c r="P63" s="11"/>
      <c r="Q63" s="11"/>
      <c r="R63" s="7"/>
      <c r="S63" s="7"/>
      <c r="T63" s="7"/>
      <c r="U63" s="7"/>
      <c r="V63" s="7"/>
      <c r="W63" s="7"/>
      <c r="X63" s="22"/>
      <c r="Y63" s="7"/>
      <c r="Z63" s="7"/>
      <c r="AA63" s="7"/>
      <c r="AB63" s="9"/>
      <c r="AC63" s="9"/>
      <c r="AD63" s="24"/>
      <c r="AE63" s="24"/>
      <c r="AF63" s="24"/>
      <c r="AG63" s="24"/>
      <c r="AH63" s="24"/>
      <c r="AI63" s="24"/>
      <c r="AJ63" s="24"/>
    </row>
    <row r="64" spans="1:36" x14ac:dyDescent="0.3">
      <c r="A64" s="12" t="s">
        <v>409</v>
      </c>
      <c r="B64" s="3" t="s">
        <v>368</v>
      </c>
      <c r="C64" s="3" t="s">
        <v>251</v>
      </c>
      <c r="D64" s="3" t="s">
        <v>71</v>
      </c>
      <c r="E64" s="3">
        <v>2.5299999999999998</v>
      </c>
      <c r="F64" s="3" t="s">
        <v>69</v>
      </c>
      <c r="G64" s="4">
        <v>36337</v>
      </c>
      <c r="H64" s="4">
        <v>91933</v>
      </c>
      <c r="I64" s="4">
        <v>5814</v>
      </c>
      <c r="J64" s="4">
        <v>14709</v>
      </c>
      <c r="K64" s="4">
        <v>30523</v>
      </c>
      <c r="L64" s="4">
        <v>77223</v>
      </c>
      <c r="M64" s="4" t="s">
        <v>10</v>
      </c>
      <c r="N64" s="4">
        <v>0</v>
      </c>
      <c r="O64" s="3" t="s">
        <v>72</v>
      </c>
      <c r="P64" s="11"/>
      <c r="Q64" s="11"/>
      <c r="R64" s="7"/>
      <c r="S64" s="7"/>
      <c r="T64" s="7"/>
      <c r="U64" s="7"/>
      <c r="V64" s="7"/>
      <c r="W64" s="7"/>
      <c r="X64" s="22"/>
      <c r="Y64" s="7"/>
      <c r="Z64" s="7"/>
      <c r="AA64" s="7"/>
      <c r="AB64" s="9"/>
      <c r="AC64" s="9"/>
      <c r="AD64" s="24"/>
      <c r="AE64" s="24"/>
      <c r="AF64" s="24"/>
      <c r="AG64" s="24"/>
      <c r="AH64" s="24"/>
      <c r="AI64" s="24"/>
      <c r="AJ64" s="24"/>
    </row>
    <row r="65" spans="1:36" x14ac:dyDescent="0.3">
      <c r="A65" s="12" t="s">
        <v>409</v>
      </c>
      <c r="B65" s="3" t="s">
        <v>368</v>
      </c>
      <c r="C65" s="3" t="s">
        <v>251</v>
      </c>
      <c r="D65" s="3" t="s">
        <v>102</v>
      </c>
      <c r="E65" s="3">
        <v>368.32</v>
      </c>
      <c r="F65" s="3" t="s">
        <v>69</v>
      </c>
      <c r="G65" s="4">
        <v>47144</v>
      </c>
      <c r="H65" s="4">
        <v>17364078</v>
      </c>
      <c r="I65" s="4">
        <v>7544</v>
      </c>
      <c r="J65" s="4">
        <v>2778606</v>
      </c>
      <c r="K65" s="4">
        <v>39600</v>
      </c>
      <c r="L65" s="4">
        <v>14585472</v>
      </c>
      <c r="M65" s="4" t="s">
        <v>10</v>
      </c>
      <c r="N65" s="4">
        <v>0</v>
      </c>
      <c r="O65" s="3" t="s">
        <v>103</v>
      </c>
      <c r="P65" s="11"/>
      <c r="Q65" s="11"/>
      <c r="R65" s="7"/>
      <c r="S65" s="7"/>
      <c r="T65" s="7"/>
      <c r="U65" s="7"/>
      <c r="V65" s="7"/>
      <c r="W65" s="7"/>
      <c r="X65" s="22"/>
      <c r="Y65" s="7"/>
      <c r="Z65" s="7"/>
      <c r="AA65" s="7"/>
      <c r="AB65" s="9"/>
      <c r="AC65" s="9"/>
      <c r="AD65" s="24"/>
      <c r="AE65" s="24"/>
      <c r="AF65" s="24"/>
      <c r="AG65" s="24"/>
      <c r="AH65" s="24"/>
      <c r="AI65" s="24"/>
      <c r="AJ65" s="24"/>
    </row>
    <row r="66" spans="1:36" x14ac:dyDescent="0.3">
      <c r="A66" s="12" t="s">
        <v>409</v>
      </c>
      <c r="B66" s="3" t="s">
        <v>367</v>
      </c>
      <c r="C66" s="3" t="s">
        <v>264</v>
      </c>
      <c r="D66" s="3" t="s">
        <v>104</v>
      </c>
      <c r="E66" s="3">
        <v>356.68</v>
      </c>
      <c r="F66" s="3" t="s">
        <v>14</v>
      </c>
      <c r="G66" s="4">
        <v>25000</v>
      </c>
      <c r="H66" s="4">
        <v>8917000</v>
      </c>
      <c r="I66" s="4">
        <v>25000</v>
      </c>
      <c r="J66" s="4">
        <v>8917000</v>
      </c>
      <c r="K66" s="4" t="s">
        <v>10</v>
      </c>
      <c r="L66" s="4">
        <v>0</v>
      </c>
      <c r="M66" s="4" t="s">
        <v>10</v>
      </c>
      <c r="N66" s="4">
        <v>0</v>
      </c>
      <c r="O66" s="3" t="s">
        <v>105</v>
      </c>
      <c r="P66" s="11"/>
      <c r="Q66" s="11"/>
      <c r="R66" s="7"/>
      <c r="S66" s="7"/>
      <c r="T66" s="7"/>
      <c r="U66" s="7"/>
      <c r="V66" s="7"/>
      <c r="W66" s="7"/>
      <c r="X66" s="22"/>
      <c r="Y66" s="7"/>
      <c r="Z66" s="7"/>
      <c r="AA66" s="7"/>
      <c r="AB66" s="9"/>
      <c r="AC66" s="9"/>
      <c r="AD66" s="24"/>
      <c r="AE66" s="24"/>
      <c r="AF66" s="24"/>
      <c r="AG66" s="24"/>
      <c r="AH66" s="24"/>
      <c r="AI66" s="24"/>
      <c r="AJ66" s="24"/>
    </row>
    <row r="67" spans="1:36" x14ac:dyDescent="0.3">
      <c r="A67" s="12" t="s">
        <v>409</v>
      </c>
      <c r="B67" s="3" t="s">
        <v>368</v>
      </c>
      <c r="C67" s="3" t="s">
        <v>265</v>
      </c>
      <c r="D67" s="3" t="s">
        <v>106</v>
      </c>
      <c r="E67" s="3">
        <v>6</v>
      </c>
      <c r="F67" s="3" t="s">
        <v>69</v>
      </c>
      <c r="G67" s="4">
        <v>7357</v>
      </c>
      <c r="H67" s="4">
        <v>44142</v>
      </c>
      <c r="I67" s="4">
        <v>2825</v>
      </c>
      <c r="J67" s="4">
        <v>16950</v>
      </c>
      <c r="K67" s="4">
        <v>4532</v>
      </c>
      <c r="L67" s="4">
        <v>27192</v>
      </c>
      <c r="M67" s="4" t="s">
        <v>10</v>
      </c>
      <c r="N67" s="4">
        <v>0</v>
      </c>
      <c r="O67" s="3" t="s">
        <v>107</v>
      </c>
      <c r="P67" s="11"/>
      <c r="Q67" s="11"/>
      <c r="R67" s="7"/>
      <c r="S67" s="7"/>
      <c r="T67" s="7"/>
      <c r="U67" s="7"/>
      <c r="V67" s="7"/>
      <c r="W67" s="7"/>
      <c r="X67" s="22"/>
      <c r="Y67" s="7"/>
      <c r="Z67" s="7"/>
      <c r="AA67" s="7"/>
      <c r="AB67" s="9"/>
      <c r="AC67" s="9"/>
      <c r="AD67" s="24"/>
      <c r="AE67" s="24"/>
      <c r="AF67" s="24"/>
      <c r="AG67" s="24"/>
      <c r="AH67" s="24"/>
      <c r="AI67" s="24"/>
      <c r="AJ67" s="24"/>
    </row>
    <row r="68" spans="1:36" x14ac:dyDescent="0.3">
      <c r="A68" s="12" t="s">
        <v>409</v>
      </c>
      <c r="B68" s="3" t="s">
        <v>367</v>
      </c>
      <c r="C68" s="3" t="s">
        <v>252</v>
      </c>
      <c r="D68" s="3" t="s">
        <v>73</v>
      </c>
      <c r="E68" s="3">
        <v>452.13</v>
      </c>
      <c r="F68" s="3" t="s">
        <v>14</v>
      </c>
      <c r="G68" s="4">
        <v>19370</v>
      </c>
      <c r="H68" s="4">
        <v>8757758</v>
      </c>
      <c r="I68" s="4">
        <v>1960</v>
      </c>
      <c r="J68" s="4">
        <v>886175</v>
      </c>
      <c r="K68" s="4">
        <v>12977</v>
      </c>
      <c r="L68" s="4">
        <v>5867291</v>
      </c>
      <c r="M68" s="4">
        <v>4433</v>
      </c>
      <c r="N68" s="4">
        <v>2004292</v>
      </c>
      <c r="O68" s="3" t="s">
        <v>74</v>
      </c>
      <c r="P68" s="11"/>
      <c r="Q68" s="11"/>
      <c r="R68" s="7"/>
      <c r="S68" s="7"/>
      <c r="T68" s="7"/>
      <c r="U68" s="7"/>
      <c r="V68" s="7"/>
      <c r="W68" s="7"/>
      <c r="X68" s="22"/>
      <c r="Y68" s="7"/>
      <c r="Z68" s="7"/>
      <c r="AA68" s="7"/>
      <c r="AB68" s="9"/>
      <c r="AC68" s="9"/>
      <c r="AD68" s="24"/>
      <c r="AE68" s="24"/>
      <c r="AF68" s="24"/>
      <c r="AG68" s="24"/>
      <c r="AH68" s="24"/>
      <c r="AI68" s="24"/>
      <c r="AJ68" s="24"/>
    </row>
    <row r="69" spans="1:36" x14ac:dyDescent="0.3">
      <c r="A69" s="12" t="s">
        <v>409</v>
      </c>
      <c r="B69" s="3" t="s">
        <v>367</v>
      </c>
      <c r="C69" s="3" t="s">
        <v>266</v>
      </c>
      <c r="D69" s="3" t="s">
        <v>108</v>
      </c>
      <c r="E69" s="3">
        <v>29</v>
      </c>
      <c r="F69" s="3" t="s">
        <v>36</v>
      </c>
      <c r="G69" s="4">
        <v>27167</v>
      </c>
      <c r="H69" s="4">
        <v>787843</v>
      </c>
      <c r="I69" s="4">
        <v>1631</v>
      </c>
      <c r="J69" s="4">
        <v>47299</v>
      </c>
      <c r="K69" s="4">
        <v>25536</v>
      </c>
      <c r="L69" s="4">
        <v>740544</v>
      </c>
      <c r="M69" s="4" t="s">
        <v>10</v>
      </c>
      <c r="N69" s="4">
        <v>0</v>
      </c>
      <c r="O69" s="3" t="s">
        <v>109</v>
      </c>
      <c r="P69" s="11"/>
      <c r="Q69" s="11"/>
      <c r="R69" s="7"/>
      <c r="S69" s="7"/>
      <c r="T69" s="7"/>
      <c r="U69" s="7"/>
      <c r="V69" s="7"/>
      <c r="W69" s="7"/>
      <c r="X69" s="22"/>
      <c r="Y69" s="7"/>
      <c r="Z69" s="7"/>
      <c r="AA69" s="7"/>
      <c r="AB69" s="9"/>
      <c r="AC69" s="9"/>
      <c r="AD69" s="24"/>
      <c r="AE69" s="24"/>
      <c r="AF69" s="24"/>
      <c r="AG69" s="24"/>
      <c r="AH69" s="24"/>
      <c r="AI69" s="24"/>
      <c r="AJ69" s="24"/>
    </row>
    <row r="70" spans="1:36" x14ac:dyDescent="0.3">
      <c r="A70" s="12" t="s">
        <v>409</v>
      </c>
      <c r="B70" s="3" t="s">
        <v>367</v>
      </c>
      <c r="C70" s="3" t="s">
        <v>253</v>
      </c>
      <c r="D70" s="3" t="s">
        <v>10</v>
      </c>
      <c r="E70" s="3">
        <v>680.94</v>
      </c>
      <c r="F70" s="3" t="s">
        <v>69</v>
      </c>
      <c r="G70" s="4">
        <v>1389</v>
      </c>
      <c r="H70" s="4">
        <v>945826</v>
      </c>
      <c r="I70" s="4">
        <v>192</v>
      </c>
      <c r="J70" s="4">
        <v>130740</v>
      </c>
      <c r="K70" s="4">
        <v>1197</v>
      </c>
      <c r="L70" s="4">
        <v>815085</v>
      </c>
      <c r="M70" s="4" t="s">
        <v>10</v>
      </c>
      <c r="N70" s="4">
        <v>0</v>
      </c>
      <c r="O70" s="3" t="s">
        <v>75</v>
      </c>
      <c r="P70" s="11"/>
      <c r="Q70" s="11"/>
      <c r="R70" s="7"/>
      <c r="S70" s="7"/>
      <c r="T70" s="7"/>
      <c r="U70" s="7"/>
      <c r="V70" s="7"/>
      <c r="W70" s="7"/>
      <c r="X70" s="22"/>
      <c r="Y70" s="7"/>
      <c r="Z70" s="7"/>
      <c r="AA70" s="7"/>
      <c r="AB70" s="9"/>
      <c r="AC70" s="9"/>
      <c r="AD70" s="24"/>
      <c r="AE70" s="24"/>
      <c r="AF70" s="24"/>
      <c r="AG70" s="24"/>
      <c r="AH70" s="24"/>
      <c r="AI70" s="24"/>
      <c r="AJ70" s="24"/>
    </row>
    <row r="71" spans="1:36" x14ac:dyDescent="0.3">
      <c r="A71" s="12" t="s">
        <v>409</v>
      </c>
      <c r="B71" s="3" t="s">
        <v>367</v>
      </c>
      <c r="C71" s="3" t="s">
        <v>254</v>
      </c>
      <c r="D71" s="3" t="s">
        <v>76</v>
      </c>
      <c r="E71" s="3">
        <v>14.86</v>
      </c>
      <c r="F71" s="3" t="s">
        <v>55</v>
      </c>
      <c r="G71" s="4">
        <v>25145</v>
      </c>
      <c r="H71" s="4">
        <v>373655</v>
      </c>
      <c r="I71" s="4">
        <v>2205</v>
      </c>
      <c r="J71" s="4">
        <v>32766</v>
      </c>
      <c r="K71" s="4">
        <v>20116</v>
      </c>
      <c r="L71" s="4">
        <v>298924</v>
      </c>
      <c r="M71" s="4">
        <v>2824</v>
      </c>
      <c r="N71" s="4">
        <v>41965</v>
      </c>
      <c r="O71" s="3" t="s">
        <v>77</v>
      </c>
      <c r="P71" s="11"/>
      <c r="Q71" s="11"/>
      <c r="R71" s="7"/>
      <c r="S71" s="7"/>
      <c r="T71" s="7"/>
      <c r="U71" s="7"/>
      <c r="V71" s="7"/>
      <c r="W71" s="7"/>
      <c r="X71" s="22"/>
      <c r="Y71" s="7"/>
      <c r="Z71" s="7"/>
      <c r="AA71" s="7"/>
      <c r="AB71" s="9"/>
      <c r="AC71" s="9"/>
      <c r="AD71" s="24"/>
      <c r="AE71" s="24"/>
      <c r="AF71" s="24"/>
      <c r="AG71" s="24"/>
      <c r="AH71" s="24"/>
      <c r="AI71" s="24"/>
      <c r="AJ71" s="24"/>
    </row>
    <row r="72" spans="1:36" x14ac:dyDescent="0.3">
      <c r="A72" s="12">
        <v>7</v>
      </c>
      <c r="B72" s="3" t="s">
        <v>342</v>
      </c>
      <c r="C72" s="3" t="s">
        <v>267</v>
      </c>
      <c r="D72" s="3" t="s">
        <v>10</v>
      </c>
      <c r="E72" s="3" t="s">
        <v>10</v>
      </c>
      <c r="F72" s="3" t="s">
        <v>10</v>
      </c>
      <c r="G72" s="4" t="s">
        <v>10</v>
      </c>
      <c r="H72" s="4">
        <v>103583</v>
      </c>
      <c r="I72" s="4" t="s">
        <v>10</v>
      </c>
      <c r="J72" s="4">
        <v>67784</v>
      </c>
      <c r="K72" s="4" t="s">
        <v>10</v>
      </c>
      <c r="L72" s="4">
        <v>27775</v>
      </c>
      <c r="M72" s="4" t="s">
        <v>10</v>
      </c>
      <c r="N72" s="4">
        <v>8025</v>
      </c>
      <c r="O72" s="3" t="s">
        <v>10</v>
      </c>
      <c r="P72" s="11">
        <v>46034</v>
      </c>
      <c r="Q72" s="11">
        <v>46037</v>
      </c>
      <c r="R72" s="22">
        <v>3</v>
      </c>
      <c r="S72" s="7"/>
      <c r="T72" s="7"/>
      <c r="U72" s="7"/>
      <c r="V72" s="20" t="s">
        <v>340</v>
      </c>
      <c r="W72" s="20" t="s">
        <v>416</v>
      </c>
      <c r="X72" s="22" t="s">
        <v>415</v>
      </c>
      <c r="Y72" s="19"/>
      <c r="Z72" s="7"/>
      <c r="AA72" s="7"/>
      <c r="AB72" s="9"/>
      <c r="AC72" s="9"/>
      <c r="AD72" s="24"/>
      <c r="AE72" s="24"/>
      <c r="AF72" s="24"/>
      <c r="AG72" s="24"/>
      <c r="AH72" s="24"/>
      <c r="AI72" s="24"/>
      <c r="AJ72" s="24"/>
    </row>
    <row r="73" spans="1:36" x14ac:dyDescent="0.3">
      <c r="A73" s="12" t="s">
        <v>409</v>
      </c>
      <c r="B73" s="3" t="s">
        <v>369</v>
      </c>
      <c r="C73" s="3" t="s">
        <v>268</v>
      </c>
      <c r="D73" s="3" t="s">
        <v>104</v>
      </c>
      <c r="E73" s="3">
        <v>0.13</v>
      </c>
      <c r="F73" s="3" t="s">
        <v>55</v>
      </c>
      <c r="G73" s="4">
        <v>36000</v>
      </c>
      <c r="H73" s="4">
        <v>4680</v>
      </c>
      <c r="I73" s="4">
        <v>36000</v>
      </c>
      <c r="J73" s="4">
        <v>4680</v>
      </c>
      <c r="K73" s="4" t="s">
        <v>10</v>
      </c>
      <c r="L73" s="4">
        <v>0</v>
      </c>
      <c r="M73" s="4" t="s">
        <v>10</v>
      </c>
      <c r="N73" s="4">
        <v>0</v>
      </c>
      <c r="O73" s="3" t="s">
        <v>110</v>
      </c>
      <c r="P73" s="11"/>
      <c r="Q73" s="11"/>
      <c r="R73" s="7"/>
      <c r="S73" s="7"/>
      <c r="T73" s="7"/>
      <c r="U73" s="7"/>
      <c r="V73" s="7"/>
      <c r="W73" s="7"/>
      <c r="X73" s="22"/>
      <c r="Y73" s="7"/>
      <c r="Z73" s="7"/>
      <c r="AA73" s="7"/>
      <c r="AB73" s="9"/>
      <c r="AC73" s="9"/>
      <c r="AD73" s="24"/>
      <c r="AE73" s="24"/>
      <c r="AF73" s="24"/>
      <c r="AG73" s="24"/>
      <c r="AH73" s="24"/>
      <c r="AI73" s="24"/>
      <c r="AJ73" s="24"/>
    </row>
    <row r="74" spans="1:36" x14ac:dyDescent="0.3">
      <c r="A74" s="12" t="s">
        <v>409</v>
      </c>
      <c r="B74" s="3" t="s">
        <v>369</v>
      </c>
      <c r="C74" s="3" t="s">
        <v>269</v>
      </c>
      <c r="D74" s="3" t="s">
        <v>10</v>
      </c>
      <c r="E74" s="3">
        <v>0.26</v>
      </c>
      <c r="F74" s="3" t="s">
        <v>55</v>
      </c>
      <c r="G74" s="4">
        <v>144326</v>
      </c>
      <c r="H74" s="4">
        <v>37525</v>
      </c>
      <c r="I74" s="4">
        <v>37500</v>
      </c>
      <c r="J74" s="4">
        <v>9750</v>
      </c>
      <c r="K74" s="4">
        <v>106826</v>
      </c>
      <c r="L74" s="4">
        <v>27775</v>
      </c>
      <c r="M74" s="4" t="s">
        <v>10</v>
      </c>
      <c r="N74" s="4">
        <v>0</v>
      </c>
      <c r="O74" s="3" t="s">
        <v>111</v>
      </c>
      <c r="P74" s="11"/>
      <c r="Q74" s="11"/>
      <c r="R74" s="7"/>
      <c r="S74" s="7"/>
      <c r="T74" s="7"/>
      <c r="U74" s="7"/>
      <c r="V74" s="7"/>
      <c r="W74" s="7"/>
      <c r="X74" s="22"/>
      <c r="Y74" s="7"/>
      <c r="Z74" s="7"/>
      <c r="AA74" s="7"/>
      <c r="AB74" s="9"/>
      <c r="AC74" s="9"/>
      <c r="AD74" s="24"/>
      <c r="AE74" s="24"/>
      <c r="AF74" s="24"/>
      <c r="AG74" s="24"/>
      <c r="AH74" s="24"/>
      <c r="AI74" s="24"/>
      <c r="AJ74" s="24"/>
    </row>
    <row r="75" spans="1:36" x14ac:dyDescent="0.3">
      <c r="A75" s="12" t="s">
        <v>409</v>
      </c>
      <c r="B75" s="3" t="s">
        <v>369</v>
      </c>
      <c r="C75" s="3" t="s">
        <v>248</v>
      </c>
      <c r="D75" s="3" t="s">
        <v>61</v>
      </c>
      <c r="E75" s="3">
        <v>7.21</v>
      </c>
      <c r="F75" s="3" t="s">
        <v>62</v>
      </c>
      <c r="G75" s="4">
        <v>560</v>
      </c>
      <c r="H75" s="4">
        <v>4038</v>
      </c>
      <c r="I75" s="4" t="s">
        <v>10</v>
      </c>
      <c r="J75" s="4">
        <v>0</v>
      </c>
      <c r="K75" s="4" t="s">
        <v>10</v>
      </c>
      <c r="L75" s="4">
        <v>0</v>
      </c>
      <c r="M75" s="4">
        <v>560</v>
      </c>
      <c r="N75" s="4">
        <v>4038</v>
      </c>
      <c r="O75" s="3" t="s">
        <v>63</v>
      </c>
      <c r="P75" s="11"/>
      <c r="Q75" s="11"/>
      <c r="R75" s="7"/>
      <c r="S75" s="7"/>
      <c r="T75" s="7"/>
      <c r="U75" s="7"/>
      <c r="V75" s="7"/>
      <c r="W75" s="7"/>
      <c r="X75" s="22"/>
      <c r="Y75" s="7"/>
      <c r="Z75" s="7"/>
      <c r="AA75" s="7"/>
      <c r="AB75" s="9"/>
      <c r="AC75" s="9"/>
      <c r="AD75" s="24"/>
      <c r="AE75" s="24"/>
      <c r="AF75" s="24"/>
      <c r="AG75" s="24"/>
      <c r="AH75" s="24"/>
      <c r="AI75" s="24"/>
      <c r="AJ75" s="24"/>
    </row>
    <row r="76" spans="1:36" x14ac:dyDescent="0.3">
      <c r="A76" s="12" t="s">
        <v>409</v>
      </c>
      <c r="B76" s="3" t="s">
        <v>369</v>
      </c>
      <c r="C76" s="3" t="s">
        <v>249</v>
      </c>
      <c r="D76" s="3" t="s">
        <v>64</v>
      </c>
      <c r="E76" s="3">
        <v>7.21</v>
      </c>
      <c r="F76" s="3" t="s">
        <v>62</v>
      </c>
      <c r="G76" s="4">
        <v>553</v>
      </c>
      <c r="H76" s="4">
        <v>3987</v>
      </c>
      <c r="I76" s="4" t="s">
        <v>10</v>
      </c>
      <c r="J76" s="4">
        <v>0</v>
      </c>
      <c r="K76" s="4" t="s">
        <v>10</v>
      </c>
      <c r="L76" s="4">
        <v>0</v>
      </c>
      <c r="M76" s="4">
        <v>553</v>
      </c>
      <c r="N76" s="4">
        <v>3987</v>
      </c>
      <c r="O76" s="3" t="s">
        <v>65</v>
      </c>
      <c r="P76" s="11"/>
      <c r="Q76" s="11"/>
      <c r="R76" s="7"/>
      <c r="S76" s="7"/>
      <c r="T76" s="7"/>
      <c r="U76" s="7"/>
      <c r="V76" s="7"/>
      <c r="W76" s="7"/>
      <c r="X76" s="22"/>
      <c r="Y76" s="7"/>
      <c r="Z76" s="7"/>
      <c r="AA76" s="7"/>
      <c r="AB76" s="9"/>
      <c r="AC76" s="9"/>
      <c r="AD76" s="24"/>
      <c r="AE76" s="24"/>
      <c r="AF76" s="24"/>
      <c r="AG76" s="24"/>
      <c r="AH76" s="24"/>
      <c r="AI76" s="24"/>
      <c r="AJ76" s="24"/>
    </row>
    <row r="77" spans="1:36" x14ac:dyDescent="0.3">
      <c r="A77" s="12" t="s">
        <v>409</v>
      </c>
      <c r="B77" s="3" t="s">
        <v>369</v>
      </c>
      <c r="C77" s="3" t="s">
        <v>250</v>
      </c>
      <c r="D77" s="3" t="s">
        <v>66</v>
      </c>
      <c r="E77" s="3">
        <v>7.21</v>
      </c>
      <c r="F77" s="3" t="s">
        <v>14</v>
      </c>
      <c r="G77" s="4">
        <v>7400</v>
      </c>
      <c r="H77" s="4">
        <v>53354</v>
      </c>
      <c r="I77" s="4">
        <v>7400</v>
      </c>
      <c r="J77" s="4">
        <v>53354</v>
      </c>
      <c r="K77" s="4" t="s">
        <v>10</v>
      </c>
      <c r="L77" s="4">
        <v>0</v>
      </c>
      <c r="M77" s="4" t="s">
        <v>10</v>
      </c>
      <c r="N77" s="4">
        <v>0</v>
      </c>
      <c r="O77" s="3" t="s">
        <v>67</v>
      </c>
      <c r="P77" s="11"/>
      <c r="Q77" s="11"/>
      <c r="R77" s="7"/>
      <c r="S77" s="7"/>
      <c r="T77" s="7"/>
      <c r="U77" s="7"/>
      <c r="V77" s="7"/>
      <c r="W77" s="7"/>
      <c r="X77" s="22"/>
      <c r="Y77" s="7"/>
      <c r="Z77" s="7"/>
      <c r="AA77" s="7"/>
      <c r="AB77" s="9"/>
      <c r="AC77" s="9"/>
      <c r="AD77" s="24"/>
      <c r="AE77" s="24"/>
      <c r="AF77" s="24"/>
      <c r="AG77" s="24"/>
      <c r="AH77" s="24"/>
      <c r="AI77" s="24"/>
      <c r="AJ77" s="24"/>
    </row>
    <row r="78" spans="1:36" x14ac:dyDescent="0.3">
      <c r="A78" s="12">
        <v>7</v>
      </c>
      <c r="B78" s="3" t="s">
        <v>343</v>
      </c>
      <c r="C78" s="3" t="s">
        <v>270</v>
      </c>
      <c r="D78" s="3" t="s">
        <v>10</v>
      </c>
      <c r="E78" s="3" t="s">
        <v>10</v>
      </c>
      <c r="F78" s="3" t="s">
        <v>10</v>
      </c>
      <c r="G78" s="4" t="s">
        <v>10</v>
      </c>
      <c r="H78" s="4">
        <v>12602894</v>
      </c>
      <c r="I78" s="4" t="s">
        <v>10</v>
      </c>
      <c r="J78" s="4">
        <v>8515464</v>
      </c>
      <c r="K78" s="4" t="s">
        <v>10</v>
      </c>
      <c r="L78" s="4">
        <v>3759052</v>
      </c>
      <c r="M78" s="4" t="s">
        <v>10</v>
      </c>
      <c r="N78" s="4">
        <v>328378</v>
      </c>
      <c r="O78" s="3" t="s">
        <v>10</v>
      </c>
      <c r="P78" s="11">
        <v>46030</v>
      </c>
      <c r="Q78" s="11">
        <v>46035</v>
      </c>
      <c r="R78" s="22">
        <v>5</v>
      </c>
      <c r="S78" s="7"/>
      <c r="T78" s="7"/>
      <c r="U78" s="7"/>
      <c r="V78" s="20" t="s">
        <v>341</v>
      </c>
      <c r="W78" s="20" t="s">
        <v>354</v>
      </c>
      <c r="X78" s="22" t="s">
        <v>414</v>
      </c>
      <c r="Y78" s="19"/>
      <c r="Z78" s="7"/>
      <c r="AA78" s="7"/>
      <c r="AB78" s="9"/>
      <c r="AC78" s="9"/>
      <c r="AD78" s="24"/>
      <c r="AE78" s="24"/>
      <c r="AF78" s="24"/>
      <c r="AG78" s="24"/>
      <c r="AH78" s="24"/>
      <c r="AI78" s="24"/>
      <c r="AJ78" s="24"/>
    </row>
    <row r="79" spans="1:36" x14ac:dyDescent="0.3">
      <c r="A79" s="12" t="s">
        <v>409</v>
      </c>
      <c r="B79" s="3" t="s">
        <v>370</v>
      </c>
      <c r="C79" s="3" t="s">
        <v>271</v>
      </c>
      <c r="D79" s="3" t="s">
        <v>112</v>
      </c>
      <c r="E79" s="3">
        <v>54</v>
      </c>
      <c r="F79" s="3" t="s">
        <v>69</v>
      </c>
      <c r="G79" s="4">
        <v>32023</v>
      </c>
      <c r="H79" s="4">
        <v>1729242</v>
      </c>
      <c r="I79" s="4">
        <v>9419</v>
      </c>
      <c r="J79" s="4">
        <v>508626</v>
      </c>
      <c r="K79" s="4">
        <v>22544</v>
      </c>
      <c r="L79" s="4">
        <v>1217376</v>
      </c>
      <c r="M79" s="4">
        <v>60</v>
      </c>
      <c r="N79" s="4">
        <v>3240</v>
      </c>
      <c r="O79" s="3" t="s">
        <v>113</v>
      </c>
      <c r="P79" s="11"/>
      <c r="Q79" s="11"/>
      <c r="R79" s="7"/>
      <c r="S79" s="7"/>
      <c r="T79" s="7"/>
      <c r="U79" s="7"/>
      <c r="V79" s="7"/>
      <c r="W79" s="7"/>
      <c r="X79" s="22"/>
      <c r="Y79" s="7"/>
      <c r="Z79" s="7"/>
      <c r="AA79" s="7"/>
      <c r="AB79" s="9"/>
      <c r="AC79" s="9"/>
      <c r="AD79" s="24"/>
      <c r="AE79" s="24"/>
      <c r="AF79" s="24"/>
      <c r="AG79" s="24"/>
      <c r="AH79" s="24"/>
      <c r="AI79" s="24"/>
      <c r="AJ79" s="24"/>
    </row>
    <row r="80" spans="1:36" x14ac:dyDescent="0.3">
      <c r="A80" s="12" t="s">
        <v>409</v>
      </c>
      <c r="B80" s="3" t="s">
        <v>371</v>
      </c>
      <c r="C80" s="3" t="s">
        <v>246</v>
      </c>
      <c r="D80" s="3" t="s">
        <v>54</v>
      </c>
      <c r="E80" s="3">
        <v>14.41</v>
      </c>
      <c r="F80" s="3" t="s">
        <v>55</v>
      </c>
      <c r="G80" s="4">
        <v>82554</v>
      </c>
      <c r="H80" s="4">
        <v>1189603</v>
      </c>
      <c r="I80" s="4">
        <v>82554</v>
      </c>
      <c r="J80" s="4">
        <v>1189603</v>
      </c>
      <c r="K80" s="4" t="s">
        <v>10</v>
      </c>
      <c r="L80" s="4">
        <v>0</v>
      </c>
      <c r="M80" s="4" t="s">
        <v>10</v>
      </c>
      <c r="N80" s="4">
        <v>0</v>
      </c>
      <c r="O80" s="3" t="s">
        <v>56</v>
      </c>
      <c r="P80" s="11"/>
      <c r="Q80" s="11"/>
      <c r="R80" s="7"/>
      <c r="S80" s="7"/>
      <c r="T80" s="7"/>
      <c r="U80" s="7"/>
      <c r="V80" s="7"/>
      <c r="W80" s="7"/>
      <c r="X80" s="22"/>
      <c r="Y80" s="7"/>
      <c r="Z80" s="7"/>
      <c r="AA80" s="7"/>
      <c r="AB80" s="9"/>
      <c r="AC80" s="9"/>
      <c r="AD80" s="24"/>
      <c r="AE80" s="24"/>
      <c r="AF80" s="24"/>
      <c r="AG80" s="24"/>
      <c r="AH80" s="24"/>
      <c r="AI80" s="24"/>
      <c r="AJ80" s="24"/>
    </row>
    <row r="81" spans="1:36" x14ac:dyDescent="0.3">
      <c r="A81" s="12" t="s">
        <v>409</v>
      </c>
      <c r="B81" s="3" t="s">
        <v>371</v>
      </c>
      <c r="C81" s="3" t="s">
        <v>246</v>
      </c>
      <c r="D81" s="3" t="s">
        <v>82</v>
      </c>
      <c r="E81" s="3">
        <v>64.989999999999995</v>
      </c>
      <c r="F81" s="3" t="s">
        <v>55</v>
      </c>
      <c r="G81" s="4">
        <v>98164</v>
      </c>
      <c r="H81" s="4">
        <v>6379678</v>
      </c>
      <c r="I81" s="4">
        <v>98164</v>
      </c>
      <c r="J81" s="4">
        <v>6379678</v>
      </c>
      <c r="K81" s="4" t="s">
        <v>10</v>
      </c>
      <c r="L81" s="4">
        <v>0</v>
      </c>
      <c r="M81" s="4" t="s">
        <v>10</v>
      </c>
      <c r="N81" s="4">
        <v>0</v>
      </c>
      <c r="O81" s="3" t="s">
        <v>83</v>
      </c>
      <c r="P81" s="11"/>
      <c r="Q81" s="11"/>
      <c r="R81" s="7"/>
      <c r="S81" s="7"/>
      <c r="T81" s="7"/>
      <c r="U81" s="7"/>
      <c r="V81" s="7"/>
      <c r="W81" s="7"/>
      <c r="X81" s="22"/>
      <c r="Y81" s="7"/>
      <c r="Z81" s="7"/>
      <c r="AA81" s="7"/>
      <c r="AB81" s="9"/>
      <c r="AC81" s="9"/>
      <c r="AD81" s="24"/>
      <c r="AE81" s="24"/>
      <c r="AF81" s="24"/>
      <c r="AG81" s="24"/>
      <c r="AH81" s="24"/>
      <c r="AI81" s="24"/>
      <c r="AJ81" s="24"/>
    </row>
    <row r="82" spans="1:36" x14ac:dyDescent="0.3">
      <c r="A82" s="12" t="s">
        <v>409</v>
      </c>
      <c r="B82" s="3" t="s">
        <v>371</v>
      </c>
      <c r="C82" s="3" t="s">
        <v>251</v>
      </c>
      <c r="D82" s="3" t="s">
        <v>68</v>
      </c>
      <c r="E82" s="3">
        <v>4.88</v>
      </c>
      <c r="F82" s="3" t="s">
        <v>69</v>
      </c>
      <c r="G82" s="4">
        <v>31787</v>
      </c>
      <c r="H82" s="4">
        <v>155121</v>
      </c>
      <c r="I82" s="4">
        <v>5086</v>
      </c>
      <c r="J82" s="4">
        <v>24820</v>
      </c>
      <c r="K82" s="4">
        <v>26701</v>
      </c>
      <c r="L82" s="4">
        <v>130301</v>
      </c>
      <c r="M82" s="4" t="s">
        <v>10</v>
      </c>
      <c r="N82" s="4">
        <v>0</v>
      </c>
      <c r="O82" s="3" t="s">
        <v>70</v>
      </c>
      <c r="P82" s="11"/>
      <c r="Q82" s="11"/>
      <c r="R82" s="7"/>
      <c r="S82" s="7"/>
      <c r="T82" s="7"/>
      <c r="U82" s="7"/>
      <c r="V82" s="7"/>
      <c r="W82" s="7"/>
      <c r="X82" s="22"/>
      <c r="Y82" s="7"/>
      <c r="Z82" s="7"/>
      <c r="AA82" s="7"/>
      <c r="AB82" s="9"/>
      <c r="AC82" s="9"/>
      <c r="AD82" s="24"/>
      <c r="AE82" s="24"/>
      <c r="AF82" s="24"/>
      <c r="AG82" s="24"/>
      <c r="AH82" s="24"/>
      <c r="AI82" s="24"/>
      <c r="AJ82" s="24"/>
    </row>
    <row r="83" spans="1:36" x14ac:dyDescent="0.3">
      <c r="A83" s="12" t="s">
        <v>409</v>
      </c>
      <c r="B83" s="3" t="s">
        <v>371</v>
      </c>
      <c r="C83" s="3" t="s">
        <v>251</v>
      </c>
      <c r="D83" s="3" t="s">
        <v>102</v>
      </c>
      <c r="E83" s="3">
        <v>31.5</v>
      </c>
      <c r="F83" s="3" t="s">
        <v>69</v>
      </c>
      <c r="G83" s="4">
        <v>47144</v>
      </c>
      <c r="H83" s="4">
        <v>1485036</v>
      </c>
      <c r="I83" s="4">
        <v>7544</v>
      </c>
      <c r="J83" s="4">
        <v>237636</v>
      </c>
      <c r="K83" s="4">
        <v>39600</v>
      </c>
      <c r="L83" s="4">
        <v>1247400</v>
      </c>
      <c r="M83" s="4" t="s">
        <v>10</v>
      </c>
      <c r="N83" s="4">
        <v>0</v>
      </c>
      <c r="O83" s="3" t="s">
        <v>103</v>
      </c>
      <c r="P83" s="11"/>
      <c r="Q83" s="11"/>
      <c r="R83" s="7"/>
      <c r="S83" s="7"/>
      <c r="T83" s="7"/>
      <c r="U83" s="7"/>
      <c r="V83" s="7"/>
      <c r="W83" s="7"/>
      <c r="X83" s="22"/>
      <c r="Y83" s="7"/>
      <c r="Z83" s="7"/>
      <c r="AA83" s="7"/>
      <c r="AB83" s="9"/>
      <c r="AC83" s="9"/>
      <c r="AD83" s="24"/>
      <c r="AE83" s="24"/>
      <c r="AF83" s="24"/>
      <c r="AG83" s="24"/>
      <c r="AH83" s="24"/>
      <c r="AI83" s="24"/>
      <c r="AJ83" s="24"/>
    </row>
    <row r="84" spans="1:36" x14ac:dyDescent="0.3">
      <c r="A84" s="12" t="s">
        <v>409</v>
      </c>
      <c r="B84" s="3" t="s">
        <v>371</v>
      </c>
      <c r="C84" s="3" t="s">
        <v>265</v>
      </c>
      <c r="D84" s="3" t="s">
        <v>114</v>
      </c>
      <c r="E84" s="3">
        <v>9.9</v>
      </c>
      <c r="F84" s="3" t="s">
        <v>115</v>
      </c>
      <c r="G84" s="4">
        <v>6334</v>
      </c>
      <c r="H84" s="4">
        <v>62707</v>
      </c>
      <c r="I84" s="4">
        <v>1802</v>
      </c>
      <c r="J84" s="4">
        <v>17840</v>
      </c>
      <c r="K84" s="4">
        <v>4532</v>
      </c>
      <c r="L84" s="4">
        <v>44867</v>
      </c>
      <c r="M84" s="4" t="s">
        <v>10</v>
      </c>
      <c r="N84" s="4">
        <v>0</v>
      </c>
      <c r="O84" s="3" t="s">
        <v>116</v>
      </c>
      <c r="P84" s="11"/>
      <c r="Q84" s="11"/>
      <c r="R84" s="7"/>
      <c r="S84" s="7"/>
      <c r="T84" s="7"/>
      <c r="U84" s="7"/>
      <c r="V84" s="7"/>
      <c r="W84" s="7"/>
      <c r="X84" s="22"/>
      <c r="Y84" s="7"/>
      <c r="Z84" s="7"/>
      <c r="AA84" s="7"/>
      <c r="AB84" s="9"/>
      <c r="AC84" s="9"/>
      <c r="AD84" s="24"/>
      <c r="AE84" s="24"/>
      <c r="AF84" s="24"/>
      <c r="AG84" s="24"/>
      <c r="AH84" s="24"/>
      <c r="AI84" s="24"/>
      <c r="AJ84" s="24"/>
    </row>
    <row r="85" spans="1:36" x14ac:dyDescent="0.3">
      <c r="A85" s="12" t="s">
        <v>409</v>
      </c>
      <c r="B85" s="3" t="s">
        <v>370</v>
      </c>
      <c r="C85" s="3" t="s">
        <v>252</v>
      </c>
      <c r="D85" s="3" t="s">
        <v>73</v>
      </c>
      <c r="E85" s="3">
        <v>64.349999999999994</v>
      </c>
      <c r="F85" s="3" t="s">
        <v>55</v>
      </c>
      <c r="G85" s="4">
        <v>19370</v>
      </c>
      <c r="H85" s="4">
        <v>1246460</v>
      </c>
      <c r="I85" s="4">
        <v>1960</v>
      </c>
      <c r="J85" s="4">
        <v>126126</v>
      </c>
      <c r="K85" s="4">
        <v>12977</v>
      </c>
      <c r="L85" s="4">
        <v>835070</v>
      </c>
      <c r="M85" s="4">
        <v>4433</v>
      </c>
      <c r="N85" s="4">
        <v>285264</v>
      </c>
      <c r="O85" s="3" t="s">
        <v>74</v>
      </c>
      <c r="P85" s="11"/>
      <c r="Q85" s="11"/>
      <c r="R85" s="7"/>
      <c r="S85" s="7"/>
      <c r="T85" s="7"/>
      <c r="U85" s="7"/>
      <c r="V85" s="7"/>
      <c r="W85" s="7"/>
      <c r="X85" s="22"/>
      <c r="Y85" s="7"/>
      <c r="Z85" s="7"/>
      <c r="AA85" s="7"/>
      <c r="AB85" s="9"/>
      <c r="AC85" s="9"/>
      <c r="AD85" s="24"/>
      <c r="AE85" s="24"/>
      <c r="AF85" s="24"/>
      <c r="AG85" s="24"/>
      <c r="AH85" s="24"/>
      <c r="AI85" s="24"/>
      <c r="AJ85" s="24"/>
    </row>
    <row r="86" spans="1:36" x14ac:dyDescent="0.3">
      <c r="A86" s="12" t="s">
        <v>409</v>
      </c>
      <c r="B86" s="3" t="s">
        <v>370</v>
      </c>
      <c r="C86" s="3" t="s">
        <v>254</v>
      </c>
      <c r="D86" s="3" t="s">
        <v>76</v>
      </c>
      <c r="E86" s="3">
        <v>14.12</v>
      </c>
      <c r="F86" s="3" t="s">
        <v>55</v>
      </c>
      <c r="G86" s="4">
        <v>25145</v>
      </c>
      <c r="H86" s="4">
        <v>355047</v>
      </c>
      <c r="I86" s="4">
        <v>2205</v>
      </c>
      <c r="J86" s="4">
        <v>31135</v>
      </c>
      <c r="K86" s="4">
        <v>20116</v>
      </c>
      <c r="L86" s="4">
        <v>284038</v>
      </c>
      <c r="M86" s="4">
        <v>2824</v>
      </c>
      <c r="N86" s="4">
        <v>39875</v>
      </c>
      <c r="O86" s="3" t="s">
        <v>77</v>
      </c>
      <c r="P86" s="11"/>
      <c r="Q86" s="11"/>
      <c r="R86" s="7"/>
      <c r="S86" s="7"/>
      <c r="T86" s="7"/>
      <c r="U86" s="7"/>
      <c r="V86" s="7"/>
      <c r="W86" s="7"/>
      <c r="X86" s="22"/>
      <c r="Y86" s="7"/>
      <c r="Z86" s="7"/>
      <c r="AA86" s="7"/>
      <c r="AB86" s="9"/>
      <c r="AC86" s="9"/>
      <c r="AD86" s="24"/>
      <c r="AE86" s="24"/>
      <c r="AF86" s="24"/>
      <c r="AG86" s="24"/>
      <c r="AH86" s="24"/>
      <c r="AI86" s="24"/>
      <c r="AJ86" s="24"/>
    </row>
    <row r="87" spans="1:36" x14ac:dyDescent="0.3">
      <c r="A87" s="12">
        <v>7</v>
      </c>
      <c r="B87" s="3" t="s">
        <v>344</v>
      </c>
      <c r="C87" s="3" t="s">
        <v>272</v>
      </c>
      <c r="D87" s="3" t="s">
        <v>10</v>
      </c>
      <c r="E87" s="3" t="s">
        <v>10</v>
      </c>
      <c r="F87" s="3" t="s">
        <v>10</v>
      </c>
      <c r="G87" s="4" t="s">
        <v>10</v>
      </c>
      <c r="H87" s="4">
        <v>23221928</v>
      </c>
      <c r="I87" s="4" t="s">
        <v>10</v>
      </c>
      <c r="J87" s="4">
        <v>7104009</v>
      </c>
      <c r="K87" s="4" t="s">
        <v>10</v>
      </c>
      <c r="L87" s="4">
        <v>16045239</v>
      </c>
      <c r="M87" s="4" t="s">
        <v>10</v>
      </c>
      <c r="N87" s="4">
        <v>72680</v>
      </c>
      <c r="O87" s="3" t="s">
        <v>10</v>
      </c>
      <c r="P87" s="11">
        <v>46038</v>
      </c>
      <c r="Q87" s="11">
        <v>46044</v>
      </c>
      <c r="R87" s="22">
        <v>6</v>
      </c>
      <c r="S87" s="7"/>
      <c r="T87" s="7"/>
      <c r="U87" s="7"/>
      <c r="V87" s="20" t="s">
        <v>421</v>
      </c>
      <c r="W87" s="20" t="s">
        <v>418</v>
      </c>
      <c r="X87" s="22" t="s">
        <v>412</v>
      </c>
      <c r="Y87" s="19"/>
      <c r="Z87" s="7"/>
      <c r="AA87" s="7"/>
      <c r="AB87" s="9"/>
      <c r="AC87" s="9"/>
      <c r="AD87" s="24"/>
      <c r="AE87" s="24"/>
      <c r="AF87" s="24"/>
      <c r="AG87" s="24"/>
      <c r="AH87" s="24"/>
      <c r="AI87" s="24"/>
      <c r="AJ87" s="24"/>
    </row>
    <row r="88" spans="1:36" x14ac:dyDescent="0.3">
      <c r="A88" s="12" t="s">
        <v>409</v>
      </c>
      <c r="B88" s="3" t="s">
        <v>372</v>
      </c>
      <c r="C88" s="3" t="s">
        <v>257</v>
      </c>
      <c r="D88" s="3" t="s">
        <v>84</v>
      </c>
      <c r="E88" s="3">
        <v>111.45</v>
      </c>
      <c r="F88" s="3" t="s">
        <v>69</v>
      </c>
      <c r="G88" s="4">
        <v>108218</v>
      </c>
      <c r="H88" s="4">
        <v>12060896</v>
      </c>
      <c r="I88" s="4">
        <v>45888</v>
      </c>
      <c r="J88" s="4">
        <v>5114218</v>
      </c>
      <c r="K88" s="4">
        <v>61952</v>
      </c>
      <c r="L88" s="4">
        <v>6904550</v>
      </c>
      <c r="M88" s="4">
        <v>378</v>
      </c>
      <c r="N88" s="4">
        <v>42128</v>
      </c>
      <c r="O88" s="3" t="s">
        <v>85</v>
      </c>
      <c r="P88" s="11"/>
      <c r="Q88" s="11"/>
      <c r="R88" s="7"/>
      <c r="S88" s="7"/>
      <c r="T88" s="7"/>
      <c r="U88" s="7"/>
      <c r="V88" s="7"/>
      <c r="W88" s="7"/>
      <c r="X88" s="22"/>
      <c r="Y88" s="7"/>
      <c r="Z88" s="7"/>
      <c r="AA88" s="7"/>
      <c r="AB88" s="9"/>
      <c r="AC88" s="9"/>
      <c r="AD88" s="24"/>
      <c r="AE88" s="24"/>
      <c r="AF88" s="24"/>
      <c r="AG88" s="24"/>
      <c r="AH88" s="24"/>
      <c r="AI88" s="24"/>
      <c r="AJ88" s="24"/>
    </row>
    <row r="89" spans="1:36" x14ac:dyDescent="0.3">
      <c r="A89" s="12" t="s">
        <v>409</v>
      </c>
      <c r="B89" s="3" t="s">
        <v>373</v>
      </c>
      <c r="C89" s="3" t="s">
        <v>263</v>
      </c>
      <c r="D89" s="3" t="s">
        <v>100</v>
      </c>
      <c r="E89" s="3">
        <v>118.88</v>
      </c>
      <c r="F89" s="3" t="s">
        <v>96</v>
      </c>
      <c r="G89" s="4">
        <v>17689</v>
      </c>
      <c r="H89" s="4">
        <v>2102868</v>
      </c>
      <c r="I89" s="4">
        <v>4545</v>
      </c>
      <c r="J89" s="4">
        <v>540310</v>
      </c>
      <c r="K89" s="4">
        <v>12887</v>
      </c>
      <c r="L89" s="4">
        <v>1532007</v>
      </c>
      <c r="M89" s="4">
        <v>257</v>
      </c>
      <c r="N89" s="4">
        <v>30552</v>
      </c>
      <c r="O89" s="3" t="s">
        <v>101</v>
      </c>
      <c r="P89" s="11"/>
      <c r="Q89" s="11"/>
      <c r="R89" s="7"/>
      <c r="S89" s="7"/>
      <c r="T89" s="7"/>
      <c r="U89" s="7"/>
      <c r="V89" s="7"/>
      <c r="W89" s="7"/>
      <c r="X89" s="22"/>
      <c r="Y89" s="7"/>
      <c r="Z89" s="7"/>
      <c r="AA89" s="7"/>
      <c r="AB89" s="9"/>
      <c r="AC89" s="9"/>
      <c r="AD89" s="24"/>
      <c r="AE89" s="24"/>
      <c r="AF89" s="24"/>
      <c r="AG89" s="24"/>
      <c r="AH89" s="24"/>
      <c r="AI89" s="24"/>
      <c r="AJ89" s="24"/>
    </row>
    <row r="90" spans="1:36" x14ac:dyDescent="0.3">
      <c r="A90" s="12" t="s">
        <v>409</v>
      </c>
      <c r="B90" s="3" t="s">
        <v>372</v>
      </c>
      <c r="C90" s="3" t="s">
        <v>251</v>
      </c>
      <c r="D90" s="3" t="s">
        <v>68</v>
      </c>
      <c r="E90" s="3">
        <v>16.46</v>
      </c>
      <c r="F90" s="3" t="s">
        <v>69</v>
      </c>
      <c r="G90" s="4">
        <v>31787</v>
      </c>
      <c r="H90" s="4">
        <v>523214</v>
      </c>
      <c r="I90" s="4">
        <v>5086</v>
      </c>
      <c r="J90" s="4">
        <v>83716</v>
      </c>
      <c r="K90" s="4">
        <v>26701</v>
      </c>
      <c r="L90" s="4">
        <v>439498</v>
      </c>
      <c r="M90" s="4" t="s">
        <v>10</v>
      </c>
      <c r="N90" s="4">
        <v>0</v>
      </c>
      <c r="O90" s="3" t="s">
        <v>70</v>
      </c>
      <c r="P90" s="11"/>
      <c r="Q90" s="11"/>
      <c r="R90" s="7"/>
      <c r="S90" s="7"/>
      <c r="T90" s="7"/>
      <c r="U90" s="7"/>
      <c r="V90" s="7"/>
      <c r="W90" s="7"/>
      <c r="X90" s="22"/>
      <c r="Y90" s="7"/>
      <c r="Z90" s="7"/>
      <c r="AA90" s="7"/>
      <c r="AB90" s="9"/>
      <c r="AC90" s="9"/>
      <c r="AD90" s="24"/>
      <c r="AE90" s="24"/>
      <c r="AF90" s="24"/>
      <c r="AG90" s="24"/>
      <c r="AH90" s="24"/>
      <c r="AI90" s="24"/>
      <c r="AJ90" s="24"/>
    </row>
    <row r="91" spans="1:36" x14ac:dyDescent="0.3">
      <c r="A91" s="12" t="s">
        <v>409</v>
      </c>
      <c r="B91" s="3" t="s">
        <v>372</v>
      </c>
      <c r="C91" s="3" t="s">
        <v>251</v>
      </c>
      <c r="D91" s="3" t="s">
        <v>102</v>
      </c>
      <c r="E91" s="3">
        <v>181.04</v>
      </c>
      <c r="F91" s="3" t="s">
        <v>69</v>
      </c>
      <c r="G91" s="4">
        <v>47144</v>
      </c>
      <c r="H91" s="4">
        <v>8534950</v>
      </c>
      <c r="I91" s="4">
        <v>7544</v>
      </c>
      <c r="J91" s="4">
        <v>1365766</v>
      </c>
      <c r="K91" s="4">
        <v>39600</v>
      </c>
      <c r="L91" s="4">
        <v>7169184</v>
      </c>
      <c r="M91" s="4" t="s">
        <v>10</v>
      </c>
      <c r="N91" s="4">
        <v>0</v>
      </c>
      <c r="O91" s="3" t="s">
        <v>103</v>
      </c>
      <c r="P91" s="11"/>
      <c r="Q91" s="11"/>
      <c r="R91" s="7"/>
      <c r="S91" s="7"/>
      <c r="T91" s="7"/>
      <c r="U91" s="7"/>
      <c r="V91" s="7"/>
      <c r="W91" s="7"/>
      <c r="X91" s="22"/>
      <c r="Y91" s="7"/>
      <c r="Z91" s="7"/>
      <c r="AA91" s="7"/>
      <c r="AB91" s="9"/>
      <c r="AC91" s="9"/>
      <c r="AD91" s="24"/>
      <c r="AE91" s="24"/>
      <c r="AF91" s="24"/>
      <c r="AG91" s="24"/>
      <c r="AH91" s="24"/>
      <c r="AI91" s="24"/>
      <c r="AJ91" s="24"/>
    </row>
    <row r="92" spans="1:36" x14ac:dyDescent="0.3">
      <c r="A92" s="12">
        <v>7</v>
      </c>
      <c r="B92" s="3" t="s">
        <v>429</v>
      </c>
      <c r="C92" s="3" t="s">
        <v>273</v>
      </c>
      <c r="D92" s="3" t="s">
        <v>10</v>
      </c>
      <c r="E92" s="3" t="s">
        <v>10</v>
      </c>
      <c r="F92" s="3" t="s">
        <v>10</v>
      </c>
      <c r="G92" s="4" t="s">
        <v>10</v>
      </c>
      <c r="H92" s="4">
        <v>101285644</v>
      </c>
      <c r="I92" s="4" t="s">
        <v>10</v>
      </c>
      <c r="J92" s="4">
        <v>65463735</v>
      </c>
      <c r="K92" s="4" t="s">
        <v>10</v>
      </c>
      <c r="L92" s="4">
        <v>34776255</v>
      </c>
      <c r="M92" s="4" t="s">
        <v>10</v>
      </c>
      <c r="N92" s="4">
        <v>1045654</v>
      </c>
      <c r="O92" s="3" t="s">
        <v>10</v>
      </c>
      <c r="P92" s="11">
        <v>46036</v>
      </c>
      <c r="Q92" s="11">
        <v>46040</v>
      </c>
      <c r="R92" s="22">
        <v>4</v>
      </c>
      <c r="S92" s="7"/>
      <c r="T92" s="7"/>
      <c r="U92" s="7"/>
      <c r="V92" s="20" t="s">
        <v>342</v>
      </c>
      <c r="W92" s="20" t="s">
        <v>417</v>
      </c>
      <c r="X92" s="22" t="s">
        <v>414</v>
      </c>
      <c r="Y92" s="19"/>
      <c r="Z92" s="7"/>
      <c r="AA92" s="7"/>
      <c r="AB92" s="9"/>
      <c r="AC92" s="9"/>
      <c r="AD92" s="24"/>
      <c r="AE92" s="24"/>
      <c r="AF92" s="24"/>
      <c r="AG92" s="24"/>
      <c r="AH92" s="24"/>
      <c r="AI92" s="24"/>
      <c r="AJ92" s="24"/>
    </row>
    <row r="93" spans="1:36" x14ac:dyDescent="0.3">
      <c r="A93" s="12" t="s">
        <v>409</v>
      </c>
      <c r="B93" s="3" t="s">
        <v>374</v>
      </c>
      <c r="C93" s="3" t="s">
        <v>274</v>
      </c>
      <c r="D93" s="3" t="s">
        <v>117</v>
      </c>
      <c r="E93" s="3">
        <v>-1.35</v>
      </c>
      <c r="F93" s="3" t="s">
        <v>118</v>
      </c>
      <c r="G93" s="4">
        <v>320000</v>
      </c>
      <c r="H93" s="4">
        <v>-432000</v>
      </c>
      <c r="I93" s="4">
        <v>320000</v>
      </c>
      <c r="J93" s="4">
        <v>-432000</v>
      </c>
      <c r="K93" s="4" t="s">
        <v>10</v>
      </c>
      <c r="L93" s="4">
        <v>0</v>
      </c>
      <c r="M93" s="4" t="s">
        <v>10</v>
      </c>
      <c r="N93" s="4">
        <v>0</v>
      </c>
      <c r="O93" s="3" t="s">
        <v>119</v>
      </c>
      <c r="P93" s="11"/>
      <c r="Q93" s="11"/>
      <c r="R93" s="7"/>
      <c r="S93" s="7"/>
      <c r="T93" s="7"/>
      <c r="U93" s="7"/>
      <c r="V93" s="7"/>
      <c r="W93" s="7"/>
      <c r="X93" s="22"/>
      <c r="Y93" s="7"/>
      <c r="Z93" s="7"/>
      <c r="AA93" s="7"/>
      <c r="AB93" s="9"/>
      <c r="AC93" s="9"/>
      <c r="AD93" s="24"/>
      <c r="AE93" s="24"/>
      <c r="AF93" s="24"/>
      <c r="AG93" s="24"/>
      <c r="AH93" s="24"/>
      <c r="AI93" s="24"/>
      <c r="AJ93" s="24"/>
    </row>
    <row r="94" spans="1:36" x14ac:dyDescent="0.3">
      <c r="A94" s="12" t="s">
        <v>409</v>
      </c>
      <c r="B94" s="3" t="s">
        <v>374</v>
      </c>
      <c r="C94" s="3" t="s">
        <v>275</v>
      </c>
      <c r="D94" s="3" t="s">
        <v>120</v>
      </c>
      <c r="E94" s="3">
        <v>3.07</v>
      </c>
      <c r="F94" s="3" t="s">
        <v>118</v>
      </c>
      <c r="G94" s="4">
        <v>885000</v>
      </c>
      <c r="H94" s="4">
        <v>2716950</v>
      </c>
      <c r="I94" s="4">
        <v>885000</v>
      </c>
      <c r="J94" s="4">
        <v>2716950</v>
      </c>
      <c r="K94" s="4" t="s">
        <v>10</v>
      </c>
      <c r="L94" s="4">
        <v>0</v>
      </c>
      <c r="M94" s="4" t="s">
        <v>10</v>
      </c>
      <c r="N94" s="4">
        <v>0</v>
      </c>
      <c r="O94" s="3" t="s">
        <v>121</v>
      </c>
      <c r="P94" s="11"/>
      <c r="Q94" s="11"/>
      <c r="R94" s="7"/>
      <c r="S94" s="7"/>
      <c r="T94" s="7"/>
      <c r="U94" s="7"/>
      <c r="V94" s="7"/>
      <c r="W94" s="7"/>
      <c r="X94" s="22"/>
      <c r="Y94" s="7"/>
      <c r="Z94" s="7"/>
      <c r="AA94" s="7"/>
      <c r="AB94" s="9"/>
      <c r="AC94" s="9"/>
      <c r="AD94" s="24"/>
      <c r="AE94" s="24"/>
      <c r="AF94" s="24"/>
      <c r="AG94" s="24"/>
      <c r="AH94" s="24"/>
      <c r="AI94" s="24"/>
      <c r="AJ94" s="24"/>
    </row>
    <row r="95" spans="1:36" x14ac:dyDescent="0.3">
      <c r="A95" s="12" t="s">
        <v>409</v>
      </c>
      <c r="B95" s="3" t="s">
        <v>374</v>
      </c>
      <c r="C95" s="3" t="s">
        <v>275</v>
      </c>
      <c r="D95" s="3" t="s">
        <v>122</v>
      </c>
      <c r="E95" s="3">
        <v>13.65</v>
      </c>
      <c r="F95" s="3" t="s">
        <v>118</v>
      </c>
      <c r="G95" s="4">
        <v>885000</v>
      </c>
      <c r="H95" s="4">
        <v>12080250</v>
      </c>
      <c r="I95" s="4">
        <v>885000</v>
      </c>
      <c r="J95" s="4">
        <v>12080250</v>
      </c>
      <c r="K95" s="4" t="s">
        <v>10</v>
      </c>
      <c r="L95" s="4">
        <v>0</v>
      </c>
      <c r="M95" s="4" t="s">
        <v>10</v>
      </c>
      <c r="N95" s="4">
        <v>0</v>
      </c>
      <c r="O95" s="3" t="s">
        <v>123</v>
      </c>
      <c r="P95" s="11"/>
      <c r="Q95" s="11"/>
      <c r="R95" s="7"/>
      <c r="S95" s="7"/>
      <c r="T95" s="7"/>
      <c r="U95" s="7"/>
      <c r="V95" s="7"/>
      <c r="W95" s="7"/>
      <c r="X95" s="22"/>
      <c r="Y95" s="7"/>
      <c r="Z95" s="7"/>
      <c r="AA95" s="7"/>
      <c r="AB95" s="9"/>
      <c r="AC95" s="9"/>
      <c r="AD95" s="24"/>
      <c r="AE95" s="24"/>
      <c r="AF95" s="24"/>
      <c r="AG95" s="24"/>
      <c r="AH95" s="24"/>
      <c r="AI95" s="24"/>
      <c r="AJ95" s="24"/>
    </row>
    <row r="96" spans="1:36" x14ac:dyDescent="0.3">
      <c r="A96" s="12" t="s">
        <v>409</v>
      </c>
      <c r="B96" s="3" t="s">
        <v>374</v>
      </c>
      <c r="C96" s="3" t="s">
        <v>275</v>
      </c>
      <c r="D96" s="3" t="s">
        <v>124</v>
      </c>
      <c r="E96" s="3">
        <v>9.8699999999999992</v>
      </c>
      <c r="F96" s="3" t="s">
        <v>118</v>
      </c>
      <c r="G96" s="4">
        <v>885000</v>
      </c>
      <c r="H96" s="4">
        <v>8734950</v>
      </c>
      <c r="I96" s="4">
        <v>885000</v>
      </c>
      <c r="J96" s="4">
        <v>8734950</v>
      </c>
      <c r="K96" s="4" t="s">
        <v>10</v>
      </c>
      <c r="L96" s="4">
        <v>0</v>
      </c>
      <c r="M96" s="4" t="s">
        <v>10</v>
      </c>
      <c r="N96" s="4">
        <v>0</v>
      </c>
      <c r="O96" s="3" t="s">
        <v>125</v>
      </c>
      <c r="P96" s="11"/>
      <c r="Q96" s="11"/>
      <c r="R96" s="7"/>
      <c r="S96" s="7"/>
      <c r="T96" s="7"/>
      <c r="U96" s="7"/>
      <c r="V96" s="7"/>
      <c r="W96" s="7"/>
      <c r="X96" s="22"/>
      <c r="Y96" s="7"/>
      <c r="Z96" s="7"/>
      <c r="AA96" s="7"/>
      <c r="AB96" s="9"/>
      <c r="AC96" s="9"/>
      <c r="AD96" s="24"/>
      <c r="AE96" s="24"/>
      <c r="AF96" s="24"/>
      <c r="AG96" s="24"/>
      <c r="AH96" s="24"/>
      <c r="AI96" s="24"/>
      <c r="AJ96" s="24"/>
    </row>
    <row r="97" spans="1:36" x14ac:dyDescent="0.3">
      <c r="A97" s="12" t="s">
        <v>409</v>
      </c>
      <c r="B97" s="3" t="s">
        <v>374</v>
      </c>
      <c r="C97" s="3" t="s">
        <v>275</v>
      </c>
      <c r="D97" s="3" t="s">
        <v>126</v>
      </c>
      <c r="E97" s="3">
        <v>8.6300000000000008</v>
      </c>
      <c r="F97" s="3" t="s">
        <v>118</v>
      </c>
      <c r="G97" s="4">
        <v>885000</v>
      </c>
      <c r="H97" s="4">
        <v>7637550</v>
      </c>
      <c r="I97" s="4">
        <v>885000</v>
      </c>
      <c r="J97" s="4">
        <v>7637550</v>
      </c>
      <c r="K97" s="4" t="s">
        <v>10</v>
      </c>
      <c r="L97" s="4">
        <v>0</v>
      </c>
      <c r="M97" s="4" t="s">
        <v>10</v>
      </c>
      <c r="N97" s="4">
        <v>0</v>
      </c>
      <c r="O97" s="3" t="s">
        <v>127</v>
      </c>
      <c r="P97" s="11"/>
      <c r="Q97" s="11"/>
      <c r="R97" s="7"/>
      <c r="S97" s="7"/>
      <c r="T97" s="7"/>
      <c r="U97" s="7"/>
      <c r="V97" s="7"/>
      <c r="W97" s="7"/>
      <c r="X97" s="22"/>
      <c r="Y97" s="7"/>
      <c r="Z97" s="7"/>
      <c r="AA97" s="7"/>
      <c r="AB97" s="9"/>
      <c r="AC97" s="9"/>
      <c r="AD97" s="24"/>
      <c r="AE97" s="24"/>
      <c r="AF97" s="24"/>
      <c r="AG97" s="24"/>
      <c r="AH97" s="24"/>
      <c r="AI97" s="24"/>
      <c r="AJ97" s="24"/>
    </row>
    <row r="98" spans="1:36" x14ac:dyDescent="0.3">
      <c r="A98" s="12" t="s">
        <v>409</v>
      </c>
      <c r="B98" s="3" t="s">
        <v>374</v>
      </c>
      <c r="C98" s="3" t="s">
        <v>275</v>
      </c>
      <c r="D98" s="3" t="s">
        <v>128</v>
      </c>
      <c r="E98" s="3">
        <v>31.19</v>
      </c>
      <c r="F98" s="3" t="s">
        <v>118</v>
      </c>
      <c r="G98" s="4">
        <v>885000</v>
      </c>
      <c r="H98" s="4">
        <v>27603150</v>
      </c>
      <c r="I98" s="4">
        <v>885000</v>
      </c>
      <c r="J98" s="4">
        <v>27603150</v>
      </c>
      <c r="K98" s="4" t="s">
        <v>10</v>
      </c>
      <c r="L98" s="4">
        <v>0</v>
      </c>
      <c r="M98" s="4" t="s">
        <v>10</v>
      </c>
      <c r="N98" s="4">
        <v>0</v>
      </c>
      <c r="O98" s="3" t="s">
        <v>129</v>
      </c>
      <c r="P98" s="11"/>
      <c r="Q98" s="11"/>
      <c r="R98" s="7"/>
      <c r="S98" s="7"/>
      <c r="T98" s="7"/>
      <c r="U98" s="7"/>
      <c r="V98" s="7"/>
      <c r="W98" s="7"/>
      <c r="X98" s="22"/>
      <c r="Y98" s="7"/>
      <c r="Z98" s="7"/>
      <c r="AA98" s="7"/>
      <c r="AB98" s="9"/>
      <c r="AC98" s="9"/>
      <c r="AD98" s="24"/>
      <c r="AE98" s="24"/>
      <c r="AF98" s="24"/>
      <c r="AG98" s="24"/>
      <c r="AH98" s="24"/>
      <c r="AI98" s="24"/>
      <c r="AJ98" s="24"/>
    </row>
    <row r="99" spans="1:36" x14ac:dyDescent="0.3">
      <c r="A99" s="12" t="s">
        <v>409</v>
      </c>
      <c r="B99" s="3" t="s">
        <v>374</v>
      </c>
      <c r="C99" s="3" t="s">
        <v>276</v>
      </c>
      <c r="D99" s="3" t="s">
        <v>10</v>
      </c>
      <c r="E99" s="3">
        <v>66.41</v>
      </c>
      <c r="F99" s="3" t="s">
        <v>118</v>
      </c>
      <c r="G99" s="4">
        <v>1737</v>
      </c>
      <c r="H99" s="4">
        <v>115354</v>
      </c>
      <c r="I99" s="4" t="s">
        <v>10</v>
      </c>
      <c r="J99" s="4">
        <v>0</v>
      </c>
      <c r="K99" s="4" t="s">
        <v>10</v>
      </c>
      <c r="L99" s="4">
        <v>0</v>
      </c>
      <c r="M99" s="4">
        <v>1737</v>
      </c>
      <c r="N99" s="4">
        <v>115354</v>
      </c>
      <c r="O99" s="3" t="s">
        <v>130</v>
      </c>
      <c r="P99" s="11"/>
      <c r="Q99" s="11"/>
      <c r="R99" s="7"/>
      <c r="S99" s="7"/>
      <c r="T99" s="7"/>
      <c r="U99" s="7"/>
      <c r="V99" s="7"/>
      <c r="W99" s="7"/>
      <c r="X99" s="22"/>
      <c r="Y99" s="7"/>
      <c r="Z99" s="7"/>
      <c r="AA99" s="7"/>
      <c r="AB99" s="9"/>
      <c r="AC99" s="9"/>
      <c r="AD99" s="24"/>
      <c r="AE99" s="24"/>
      <c r="AF99" s="24"/>
      <c r="AG99" s="24"/>
      <c r="AH99" s="24"/>
      <c r="AI99" s="24"/>
      <c r="AJ99" s="24"/>
    </row>
    <row r="100" spans="1:36" x14ac:dyDescent="0.3">
      <c r="A100" s="12" t="s">
        <v>409</v>
      </c>
      <c r="B100" s="3" t="s">
        <v>375</v>
      </c>
      <c r="C100" s="3" t="s">
        <v>277</v>
      </c>
      <c r="D100" s="3" t="s">
        <v>131</v>
      </c>
      <c r="E100" s="3">
        <v>5.8</v>
      </c>
      <c r="F100" s="3" t="s">
        <v>118</v>
      </c>
      <c r="G100" s="4">
        <v>566646</v>
      </c>
      <c r="H100" s="4">
        <v>3286547</v>
      </c>
      <c r="I100" s="4">
        <v>96330</v>
      </c>
      <c r="J100" s="4">
        <v>558714</v>
      </c>
      <c r="K100" s="4">
        <v>470316</v>
      </c>
      <c r="L100" s="4">
        <v>2727833</v>
      </c>
      <c r="M100" s="4" t="s">
        <v>10</v>
      </c>
      <c r="N100" s="4">
        <v>0</v>
      </c>
      <c r="O100" s="3" t="s">
        <v>132</v>
      </c>
      <c r="P100" s="11"/>
      <c r="Q100" s="11"/>
      <c r="R100" s="7"/>
      <c r="S100" s="7"/>
      <c r="T100" s="7"/>
      <c r="U100" s="7"/>
      <c r="V100" s="7"/>
      <c r="W100" s="7"/>
      <c r="X100" s="22"/>
      <c r="Y100" s="7"/>
      <c r="Z100" s="7"/>
      <c r="AA100" s="7"/>
      <c r="AB100" s="9"/>
      <c r="AC100" s="9"/>
      <c r="AD100" s="24"/>
      <c r="AE100" s="24"/>
      <c r="AF100" s="24"/>
      <c r="AG100" s="24"/>
      <c r="AH100" s="24"/>
      <c r="AI100" s="24"/>
      <c r="AJ100" s="24"/>
    </row>
    <row r="101" spans="1:36" x14ac:dyDescent="0.3">
      <c r="A101" s="12" t="s">
        <v>409</v>
      </c>
      <c r="B101" s="3" t="s">
        <v>375</v>
      </c>
      <c r="C101" s="3" t="s">
        <v>277</v>
      </c>
      <c r="D101" s="3" t="s">
        <v>133</v>
      </c>
      <c r="E101" s="3">
        <v>58.66</v>
      </c>
      <c r="F101" s="3" t="s">
        <v>118</v>
      </c>
      <c r="G101" s="4">
        <v>658244</v>
      </c>
      <c r="H101" s="4">
        <v>38612593</v>
      </c>
      <c r="I101" s="4">
        <v>111902</v>
      </c>
      <c r="J101" s="4">
        <v>6564171</v>
      </c>
      <c r="K101" s="4">
        <v>546342</v>
      </c>
      <c r="L101" s="4">
        <v>32048422</v>
      </c>
      <c r="M101" s="4" t="s">
        <v>10</v>
      </c>
      <c r="N101" s="4">
        <v>0</v>
      </c>
      <c r="O101" s="3" t="s">
        <v>134</v>
      </c>
      <c r="P101" s="11"/>
      <c r="Q101" s="11"/>
      <c r="R101" s="7"/>
      <c r="S101" s="7"/>
      <c r="T101" s="7"/>
      <c r="U101" s="7"/>
      <c r="V101" s="7"/>
      <c r="W101" s="7"/>
      <c r="X101" s="22"/>
      <c r="Y101" s="7"/>
      <c r="Z101" s="7"/>
      <c r="AA101" s="7"/>
      <c r="AB101" s="9"/>
      <c r="AC101" s="9"/>
      <c r="AD101" s="24"/>
      <c r="AE101" s="24"/>
      <c r="AF101" s="24"/>
      <c r="AG101" s="24"/>
      <c r="AH101" s="24"/>
      <c r="AI101" s="24"/>
      <c r="AJ101" s="24"/>
    </row>
    <row r="102" spans="1:36" x14ac:dyDescent="0.3">
      <c r="A102" s="12" t="s">
        <v>409</v>
      </c>
      <c r="B102" s="3" t="s">
        <v>374</v>
      </c>
      <c r="C102" s="3" t="s">
        <v>278</v>
      </c>
      <c r="D102" s="3" t="s">
        <v>135</v>
      </c>
      <c r="E102" s="3">
        <v>4.43</v>
      </c>
      <c r="F102" s="3" t="s">
        <v>118</v>
      </c>
      <c r="G102" s="4">
        <v>210000</v>
      </c>
      <c r="H102" s="4">
        <v>930300</v>
      </c>
      <c r="I102" s="4" t="s">
        <v>10</v>
      </c>
      <c r="J102" s="4">
        <v>0</v>
      </c>
      <c r="K102" s="4" t="s">
        <v>10</v>
      </c>
      <c r="L102" s="4">
        <v>0</v>
      </c>
      <c r="M102" s="4">
        <v>210000</v>
      </c>
      <c r="N102" s="4">
        <v>930300</v>
      </c>
      <c r="O102" s="3" t="s">
        <v>136</v>
      </c>
      <c r="P102" s="11"/>
      <c r="Q102" s="11"/>
      <c r="R102" s="7"/>
      <c r="S102" s="7"/>
      <c r="T102" s="7"/>
      <c r="U102" s="7"/>
      <c r="V102" s="7"/>
      <c r="W102" s="7"/>
      <c r="X102" s="22"/>
      <c r="Y102" s="7"/>
      <c r="Z102" s="7"/>
      <c r="AA102" s="7"/>
      <c r="AB102" s="9"/>
      <c r="AC102" s="9"/>
      <c r="AD102" s="24"/>
      <c r="AE102" s="24"/>
      <c r="AF102" s="24"/>
      <c r="AG102" s="24"/>
      <c r="AH102" s="24"/>
      <c r="AI102" s="24"/>
      <c r="AJ102" s="24"/>
    </row>
    <row r="103" spans="1:36" x14ac:dyDescent="0.3">
      <c r="A103" s="12">
        <v>5</v>
      </c>
      <c r="B103" s="3" t="s">
        <v>430</v>
      </c>
      <c r="C103" s="3" t="s">
        <v>279</v>
      </c>
      <c r="D103" s="3" t="s">
        <v>10</v>
      </c>
      <c r="E103" s="3" t="s">
        <v>10</v>
      </c>
      <c r="F103" s="3" t="s">
        <v>10</v>
      </c>
      <c r="G103" s="4" t="s">
        <v>10</v>
      </c>
      <c r="H103" s="4">
        <v>656272274</v>
      </c>
      <c r="I103" s="4" t="s">
        <v>10</v>
      </c>
      <c r="J103" s="4">
        <v>309717311</v>
      </c>
      <c r="K103" s="4" t="s">
        <v>10</v>
      </c>
      <c r="L103" s="4">
        <v>314155458</v>
      </c>
      <c r="M103" s="4" t="s">
        <v>10</v>
      </c>
      <c r="N103" s="4">
        <v>32399505</v>
      </c>
      <c r="O103" s="3" t="s">
        <v>10</v>
      </c>
      <c r="P103" s="11">
        <f>MIN(P104,P119)</f>
        <v>46040</v>
      </c>
      <c r="Q103" s="11">
        <f>MAX(Q104,Q119)</f>
        <v>46075</v>
      </c>
      <c r="R103" s="22">
        <f t="shared" ref="R103:R104" si="2">Q103-P103</f>
        <v>35</v>
      </c>
      <c r="S103" s="7"/>
      <c r="T103" s="7"/>
      <c r="U103" s="7"/>
      <c r="V103" s="7"/>
      <c r="W103" s="7"/>
      <c r="X103" s="22"/>
      <c r="Y103" s="7"/>
      <c r="Z103" s="7"/>
      <c r="AA103" s="7"/>
      <c r="AB103" s="9"/>
      <c r="AC103" s="9"/>
      <c r="AD103" s="24"/>
      <c r="AE103" s="24"/>
      <c r="AF103" s="24"/>
      <c r="AG103" s="24"/>
      <c r="AH103" s="24"/>
      <c r="AI103" s="24"/>
      <c r="AJ103" s="24"/>
    </row>
    <row r="104" spans="1:36" x14ac:dyDescent="0.3">
      <c r="A104" s="12">
        <v>6</v>
      </c>
      <c r="B104" s="3" t="s">
        <v>431</v>
      </c>
      <c r="C104" s="3" t="s">
        <v>280</v>
      </c>
      <c r="D104" s="3" t="s">
        <v>10</v>
      </c>
      <c r="E104" s="3" t="s">
        <v>10</v>
      </c>
      <c r="F104" s="3" t="s">
        <v>10</v>
      </c>
      <c r="G104" s="4" t="s">
        <v>10</v>
      </c>
      <c r="H104" s="4">
        <v>408616553</v>
      </c>
      <c r="I104" s="4" t="s">
        <v>10</v>
      </c>
      <c r="J104" s="4">
        <v>157447494</v>
      </c>
      <c r="K104" s="4" t="s">
        <v>10</v>
      </c>
      <c r="L104" s="4">
        <v>222020621</v>
      </c>
      <c r="M104" s="4" t="s">
        <v>10</v>
      </c>
      <c r="N104" s="4">
        <v>29148438</v>
      </c>
      <c r="O104" s="3" t="s">
        <v>10</v>
      </c>
      <c r="P104" s="11">
        <f>MIN(P105:P110)</f>
        <v>46040</v>
      </c>
      <c r="Q104" s="11">
        <f>MAX(Q105:Q110)</f>
        <v>46046</v>
      </c>
      <c r="R104" s="22">
        <f t="shared" si="2"/>
        <v>6</v>
      </c>
      <c r="S104" s="7"/>
      <c r="T104" s="7"/>
      <c r="U104" s="7"/>
      <c r="V104" s="7"/>
      <c r="W104" s="7"/>
      <c r="X104" s="22"/>
      <c r="Y104" s="7"/>
      <c r="Z104" s="7"/>
      <c r="AA104" s="7"/>
      <c r="AB104" s="9"/>
      <c r="AC104" s="9"/>
      <c r="AD104" s="24"/>
      <c r="AE104" s="24"/>
      <c r="AF104" s="24"/>
      <c r="AG104" s="24"/>
      <c r="AH104" s="24"/>
      <c r="AI104" s="24"/>
      <c r="AJ104" s="24"/>
    </row>
    <row r="105" spans="1:36" x14ac:dyDescent="0.3">
      <c r="A105" s="12">
        <v>7</v>
      </c>
      <c r="B105" s="3" t="s">
        <v>432</v>
      </c>
      <c r="C105" s="3" t="s">
        <v>281</v>
      </c>
      <c r="D105" s="3" t="s">
        <v>10</v>
      </c>
      <c r="E105" s="3" t="s">
        <v>10</v>
      </c>
      <c r="F105" s="3" t="s">
        <v>10</v>
      </c>
      <c r="G105" s="4" t="s">
        <v>10</v>
      </c>
      <c r="H105" s="4">
        <v>391420601</v>
      </c>
      <c r="I105" s="4" t="s">
        <v>10</v>
      </c>
      <c r="J105" s="4">
        <v>140553744</v>
      </c>
      <c r="K105" s="4" t="s">
        <v>10</v>
      </c>
      <c r="L105" s="4">
        <v>222020621</v>
      </c>
      <c r="M105" s="4" t="s">
        <v>10</v>
      </c>
      <c r="N105" s="4">
        <v>28846236</v>
      </c>
      <c r="O105" s="3" t="s">
        <v>10</v>
      </c>
      <c r="P105" s="11">
        <v>46043</v>
      </c>
      <c r="Q105" s="11">
        <v>46046</v>
      </c>
      <c r="R105" s="22">
        <v>3</v>
      </c>
      <c r="S105" s="7"/>
      <c r="T105" s="7"/>
      <c r="U105" s="7"/>
      <c r="V105" s="20" t="s">
        <v>343</v>
      </c>
      <c r="W105" s="20" t="s">
        <v>354</v>
      </c>
      <c r="X105" s="22" t="s">
        <v>414</v>
      </c>
      <c r="Y105" s="19"/>
      <c r="Z105" s="7"/>
      <c r="AA105" s="7"/>
      <c r="AB105" s="9"/>
      <c r="AC105" s="9"/>
      <c r="AD105" s="24"/>
      <c r="AE105" s="24"/>
      <c r="AF105" s="24"/>
      <c r="AG105" s="24"/>
      <c r="AH105" s="24"/>
      <c r="AI105" s="24"/>
      <c r="AJ105" s="24"/>
    </row>
    <row r="106" spans="1:36" x14ac:dyDescent="0.3">
      <c r="A106" s="12" t="s">
        <v>409</v>
      </c>
      <c r="B106" s="3" t="s">
        <v>376</v>
      </c>
      <c r="C106" s="3" t="s">
        <v>282</v>
      </c>
      <c r="D106" s="3" t="s">
        <v>137</v>
      </c>
      <c r="E106" s="3">
        <v>6</v>
      </c>
      <c r="F106" s="3" t="s">
        <v>41</v>
      </c>
      <c r="G106" s="4">
        <v>1612867</v>
      </c>
      <c r="H106" s="4">
        <v>9677202</v>
      </c>
      <c r="I106" s="4">
        <v>843793</v>
      </c>
      <c r="J106" s="4">
        <v>5062758</v>
      </c>
      <c r="K106" s="4">
        <v>505444</v>
      </c>
      <c r="L106" s="4">
        <v>3032664</v>
      </c>
      <c r="M106" s="4">
        <v>263630</v>
      </c>
      <c r="N106" s="4">
        <v>1581780</v>
      </c>
      <c r="O106" s="3" t="s">
        <v>138</v>
      </c>
      <c r="P106" s="11"/>
      <c r="Q106" s="11"/>
      <c r="R106" s="7"/>
      <c r="S106" s="7"/>
      <c r="T106" s="7"/>
      <c r="U106" s="7"/>
      <c r="V106" s="7"/>
      <c r="W106" s="7"/>
      <c r="X106" s="22"/>
      <c r="Y106" s="7"/>
      <c r="Z106" s="7"/>
      <c r="AA106" s="7"/>
      <c r="AB106" s="9"/>
      <c r="AC106" s="9"/>
      <c r="AD106" s="24"/>
      <c r="AE106" s="24"/>
      <c r="AF106" s="24"/>
      <c r="AG106" s="24"/>
      <c r="AH106" s="24"/>
      <c r="AI106" s="24"/>
      <c r="AJ106" s="24"/>
    </row>
    <row r="107" spans="1:36" x14ac:dyDescent="0.3">
      <c r="A107" s="12" t="s">
        <v>409</v>
      </c>
      <c r="B107" s="3" t="s">
        <v>376</v>
      </c>
      <c r="C107" s="3" t="s">
        <v>283</v>
      </c>
      <c r="D107" s="3" t="s">
        <v>137</v>
      </c>
      <c r="E107" s="3">
        <v>6</v>
      </c>
      <c r="F107" s="3" t="s">
        <v>14</v>
      </c>
      <c r="G107" s="4">
        <v>63531797</v>
      </c>
      <c r="H107" s="4">
        <v>381190782</v>
      </c>
      <c r="I107" s="4">
        <v>22503250</v>
      </c>
      <c r="J107" s="4">
        <v>135019500</v>
      </c>
      <c r="K107" s="4">
        <v>36487914</v>
      </c>
      <c r="L107" s="4">
        <v>218927484</v>
      </c>
      <c r="M107" s="4">
        <v>4540633</v>
      </c>
      <c r="N107" s="4">
        <v>27243798</v>
      </c>
      <c r="O107" s="3" t="s">
        <v>139</v>
      </c>
      <c r="P107" s="11"/>
      <c r="Q107" s="11"/>
      <c r="R107" s="7"/>
      <c r="S107" s="7"/>
      <c r="T107" s="7"/>
      <c r="U107" s="7"/>
      <c r="V107" s="7"/>
      <c r="W107" s="7"/>
      <c r="X107" s="22"/>
      <c r="Y107" s="7"/>
      <c r="Z107" s="7"/>
      <c r="AA107" s="7"/>
      <c r="AB107" s="9"/>
      <c r="AC107" s="9"/>
      <c r="AD107" s="24"/>
      <c r="AE107" s="24"/>
      <c r="AF107" s="24"/>
      <c r="AG107" s="24"/>
      <c r="AH107" s="24"/>
      <c r="AI107" s="24"/>
      <c r="AJ107" s="24"/>
    </row>
    <row r="108" spans="1:36" x14ac:dyDescent="0.3">
      <c r="A108" s="12" t="s">
        <v>409</v>
      </c>
      <c r="B108" s="3" t="s">
        <v>377</v>
      </c>
      <c r="C108" s="3" t="s">
        <v>246</v>
      </c>
      <c r="D108" s="3" t="s">
        <v>82</v>
      </c>
      <c r="E108" s="3">
        <v>4.71</v>
      </c>
      <c r="F108" s="3" t="s">
        <v>55</v>
      </c>
      <c r="G108" s="4">
        <v>98164</v>
      </c>
      <c r="H108" s="4">
        <v>462352</v>
      </c>
      <c r="I108" s="4">
        <v>98164</v>
      </c>
      <c r="J108" s="4">
        <v>462352</v>
      </c>
      <c r="K108" s="4" t="s">
        <v>10</v>
      </c>
      <c r="L108" s="4">
        <v>0</v>
      </c>
      <c r="M108" s="4" t="s">
        <v>10</v>
      </c>
      <c r="N108" s="4">
        <v>0</v>
      </c>
      <c r="O108" s="3" t="s">
        <v>83</v>
      </c>
      <c r="P108" s="11"/>
      <c r="Q108" s="11"/>
      <c r="R108" s="7"/>
      <c r="S108" s="7"/>
      <c r="T108" s="7"/>
      <c r="U108" s="7"/>
      <c r="V108" s="7"/>
      <c r="W108" s="7"/>
      <c r="X108" s="22"/>
      <c r="Y108" s="7"/>
      <c r="Z108" s="7"/>
      <c r="AA108" s="7"/>
      <c r="AB108" s="9"/>
      <c r="AC108" s="9"/>
      <c r="AD108" s="24"/>
      <c r="AE108" s="24"/>
      <c r="AF108" s="24"/>
      <c r="AG108" s="24"/>
      <c r="AH108" s="24"/>
      <c r="AI108" s="24"/>
      <c r="AJ108" s="24"/>
    </row>
    <row r="109" spans="1:36" x14ac:dyDescent="0.3">
      <c r="A109" s="12" t="s">
        <v>409</v>
      </c>
      <c r="B109" s="3" t="s">
        <v>376</v>
      </c>
      <c r="C109" s="3" t="s">
        <v>252</v>
      </c>
      <c r="D109" s="3" t="s">
        <v>73</v>
      </c>
      <c r="E109" s="3">
        <v>4.66</v>
      </c>
      <c r="F109" s="3" t="s">
        <v>55</v>
      </c>
      <c r="G109" s="4">
        <v>19370</v>
      </c>
      <c r="H109" s="4">
        <v>90264</v>
      </c>
      <c r="I109" s="4">
        <v>1960</v>
      </c>
      <c r="J109" s="4">
        <v>9134</v>
      </c>
      <c r="K109" s="4">
        <v>12977</v>
      </c>
      <c r="L109" s="4">
        <v>60473</v>
      </c>
      <c r="M109" s="4">
        <v>4433</v>
      </c>
      <c r="N109" s="4">
        <v>20658</v>
      </c>
      <c r="O109" s="3" t="s">
        <v>74</v>
      </c>
      <c r="P109" s="11"/>
      <c r="Q109" s="11"/>
      <c r="R109" s="7"/>
      <c r="S109" s="7"/>
      <c r="T109" s="7"/>
      <c r="U109" s="7"/>
      <c r="V109" s="7"/>
      <c r="W109" s="7"/>
      <c r="X109" s="22"/>
      <c r="Y109" s="7"/>
      <c r="Z109" s="7"/>
      <c r="AA109" s="7"/>
      <c r="AB109" s="9"/>
      <c r="AC109" s="9"/>
      <c r="AD109" s="24"/>
      <c r="AE109" s="24"/>
      <c r="AF109" s="24"/>
      <c r="AG109" s="24"/>
      <c r="AH109" s="24"/>
      <c r="AI109" s="24"/>
      <c r="AJ109" s="24"/>
    </row>
    <row r="110" spans="1:36" x14ac:dyDescent="0.3">
      <c r="A110" s="12">
        <v>7</v>
      </c>
      <c r="B110" s="3" t="s">
        <v>345</v>
      </c>
      <c r="C110" s="3" t="s">
        <v>273</v>
      </c>
      <c r="D110" s="3" t="s">
        <v>10</v>
      </c>
      <c r="E110" s="3" t="s">
        <v>10</v>
      </c>
      <c r="F110" s="3" t="s">
        <v>10</v>
      </c>
      <c r="G110" s="4" t="s">
        <v>10</v>
      </c>
      <c r="H110" s="4">
        <v>17195953</v>
      </c>
      <c r="I110" s="4" t="s">
        <v>10</v>
      </c>
      <c r="J110" s="4">
        <v>16893750</v>
      </c>
      <c r="K110" s="4" t="s">
        <v>10</v>
      </c>
      <c r="L110" s="4">
        <v>0</v>
      </c>
      <c r="M110" s="4" t="s">
        <v>10</v>
      </c>
      <c r="N110" s="4">
        <v>302203</v>
      </c>
      <c r="O110" s="3" t="s">
        <v>10</v>
      </c>
      <c r="P110" s="11">
        <v>46040</v>
      </c>
      <c r="Q110" s="11">
        <v>46045</v>
      </c>
      <c r="R110" s="22">
        <v>5</v>
      </c>
      <c r="S110" s="7"/>
      <c r="T110" s="7"/>
      <c r="U110" s="7"/>
      <c r="V110" s="20" t="s">
        <v>344</v>
      </c>
      <c r="W110" s="20" t="s">
        <v>354</v>
      </c>
      <c r="X110" s="22" t="s">
        <v>414</v>
      </c>
      <c r="Y110" s="19"/>
      <c r="Z110" s="7"/>
      <c r="AA110" s="7"/>
      <c r="AB110" s="9"/>
      <c r="AC110" s="9"/>
      <c r="AD110" s="24"/>
      <c r="AE110" s="24"/>
      <c r="AF110" s="24"/>
      <c r="AG110" s="24"/>
      <c r="AH110" s="24"/>
      <c r="AI110" s="24"/>
      <c r="AJ110" s="24"/>
    </row>
    <row r="111" spans="1:36" x14ac:dyDescent="0.3">
      <c r="A111" s="12" t="s">
        <v>409</v>
      </c>
      <c r="B111" s="3" t="s">
        <v>378</v>
      </c>
      <c r="C111" s="3" t="s">
        <v>274</v>
      </c>
      <c r="D111" s="3" t="s">
        <v>117</v>
      </c>
      <c r="E111" s="3">
        <v>-0.39</v>
      </c>
      <c r="F111" s="3" t="s">
        <v>118</v>
      </c>
      <c r="G111" s="4">
        <v>320000</v>
      </c>
      <c r="H111" s="4">
        <v>-124800</v>
      </c>
      <c r="I111" s="4">
        <v>320000</v>
      </c>
      <c r="J111" s="4">
        <v>-124800</v>
      </c>
      <c r="K111" s="4" t="s">
        <v>10</v>
      </c>
      <c r="L111" s="4">
        <v>0</v>
      </c>
      <c r="M111" s="4" t="s">
        <v>10</v>
      </c>
      <c r="N111" s="4">
        <v>0</v>
      </c>
      <c r="O111" s="3" t="s">
        <v>119</v>
      </c>
      <c r="P111" s="11"/>
      <c r="Q111" s="11"/>
      <c r="R111" s="7"/>
      <c r="S111" s="7"/>
      <c r="T111" s="7"/>
      <c r="U111" s="7"/>
      <c r="V111" s="7"/>
      <c r="W111" s="7"/>
      <c r="X111" s="22"/>
      <c r="Y111" s="7"/>
      <c r="Z111" s="7"/>
      <c r="AA111" s="7"/>
      <c r="AB111" s="9"/>
      <c r="AC111" s="9"/>
      <c r="AD111" s="24"/>
      <c r="AE111" s="24"/>
      <c r="AF111" s="24"/>
      <c r="AG111" s="24"/>
      <c r="AH111" s="24"/>
      <c r="AI111" s="24"/>
      <c r="AJ111" s="24"/>
    </row>
    <row r="112" spans="1:36" x14ac:dyDescent="0.3">
      <c r="A112" s="12" t="s">
        <v>409</v>
      </c>
      <c r="B112" s="3" t="s">
        <v>378</v>
      </c>
      <c r="C112" s="3" t="s">
        <v>275</v>
      </c>
      <c r="D112" s="3" t="s">
        <v>120</v>
      </c>
      <c r="E112" s="3">
        <v>11.99</v>
      </c>
      <c r="F112" s="3" t="s">
        <v>118</v>
      </c>
      <c r="G112" s="4">
        <v>885000</v>
      </c>
      <c r="H112" s="4">
        <v>10611150</v>
      </c>
      <c r="I112" s="4">
        <v>885000</v>
      </c>
      <c r="J112" s="4">
        <v>10611150</v>
      </c>
      <c r="K112" s="4" t="s">
        <v>10</v>
      </c>
      <c r="L112" s="4">
        <v>0</v>
      </c>
      <c r="M112" s="4" t="s">
        <v>10</v>
      </c>
      <c r="N112" s="4">
        <v>0</v>
      </c>
      <c r="O112" s="3" t="s">
        <v>121</v>
      </c>
      <c r="P112" s="11"/>
      <c r="Q112" s="11"/>
      <c r="R112" s="7"/>
      <c r="S112" s="7"/>
      <c r="T112" s="7"/>
      <c r="U112" s="7"/>
      <c r="V112" s="7"/>
      <c r="W112" s="7"/>
      <c r="X112" s="22"/>
      <c r="Y112" s="7"/>
      <c r="Z112" s="7"/>
      <c r="AA112" s="7"/>
      <c r="AB112" s="9"/>
      <c r="AC112" s="9"/>
      <c r="AD112" s="24"/>
      <c r="AE112" s="24"/>
      <c r="AF112" s="24"/>
      <c r="AG112" s="24"/>
      <c r="AH112" s="24"/>
      <c r="AI112" s="24"/>
      <c r="AJ112" s="24"/>
    </row>
    <row r="113" spans="1:36" x14ac:dyDescent="0.3">
      <c r="A113" s="12" t="s">
        <v>409</v>
      </c>
      <c r="B113" s="3" t="s">
        <v>378</v>
      </c>
      <c r="C113" s="3" t="s">
        <v>275</v>
      </c>
      <c r="D113" s="3" t="s">
        <v>122</v>
      </c>
      <c r="E113" s="3">
        <v>2.29</v>
      </c>
      <c r="F113" s="3" t="s">
        <v>118</v>
      </c>
      <c r="G113" s="4">
        <v>885000</v>
      </c>
      <c r="H113" s="4">
        <v>2026650</v>
      </c>
      <c r="I113" s="4">
        <v>885000</v>
      </c>
      <c r="J113" s="4">
        <v>2026650</v>
      </c>
      <c r="K113" s="4" t="s">
        <v>10</v>
      </c>
      <c r="L113" s="4">
        <v>0</v>
      </c>
      <c r="M113" s="4" t="s">
        <v>10</v>
      </c>
      <c r="N113" s="4">
        <v>0</v>
      </c>
      <c r="O113" s="3" t="s">
        <v>123</v>
      </c>
      <c r="P113" s="11"/>
      <c r="Q113" s="11"/>
      <c r="R113" s="7"/>
      <c r="S113" s="7"/>
      <c r="T113" s="7"/>
      <c r="U113" s="7"/>
      <c r="V113" s="7"/>
      <c r="W113" s="7"/>
      <c r="X113" s="22"/>
      <c r="Y113" s="7"/>
      <c r="Z113" s="7"/>
      <c r="AA113" s="7"/>
      <c r="AB113" s="9"/>
      <c r="AC113" s="9"/>
      <c r="AD113" s="24"/>
      <c r="AE113" s="24"/>
      <c r="AF113" s="24"/>
      <c r="AG113" s="24"/>
      <c r="AH113" s="24"/>
      <c r="AI113" s="24"/>
      <c r="AJ113" s="24"/>
    </row>
    <row r="114" spans="1:36" x14ac:dyDescent="0.3">
      <c r="A114" s="12" t="s">
        <v>409</v>
      </c>
      <c r="B114" s="3" t="s">
        <v>378</v>
      </c>
      <c r="C114" s="3" t="s">
        <v>275</v>
      </c>
      <c r="D114" s="3" t="s">
        <v>124</v>
      </c>
      <c r="E114" s="3">
        <v>4.6500000000000004</v>
      </c>
      <c r="F114" s="3" t="s">
        <v>118</v>
      </c>
      <c r="G114" s="4">
        <v>885000</v>
      </c>
      <c r="H114" s="4">
        <v>4115250</v>
      </c>
      <c r="I114" s="4">
        <v>885000</v>
      </c>
      <c r="J114" s="4">
        <v>4115250</v>
      </c>
      <c r="K114" s="4" t="s">
        <v>10</v>
      </c>
      <c r="L114" s="4">
        <v>0</v>
      </c>
      <c r="M114" s="4" t="s">
        <v>10</v>
      </c>
      <c r="N114" s="4">
        <v>0</v>
      </c>
      <c r="O114" s="3" t="s">
        <v>125</v>
      </c>
      <c r="P114" s="11"/>
      <c r="Q114" s="11"/>
      <c r="R114" s="7"/>
      <c r="S114" s="7"/>
      <c r="T114" s="7"/>
      <c r="U114" s="7"/>
      <c r="V114" s="7"/>
      <c r="W114" s="7"/>
      <c r="X114" s="22"/>
      <c r="Y114" s="7"/>
      <c r="Z114" s="7"/>
      <c r="AA114" s="7"/>
      <c r="AB114" s="9"/>
      <c r="AC114" s="9"/>
      <c r="AD114" s="24"/>
      <c r="AE114" s="24"/>
      <c r="AF114" s="24"/>
      <c r="AG114" s="24"/>
      <c r="AH114" s="24"/>
      <c r="AI114" s="24"/>
      <c r="AJ114" s="24"/>
    </row>
    <row r="115" spans="1:36" x14ac:dyDescent="0.3">
      <c r="A115" s="12" t="s">
        <v>409</v>
      </c>
      <c r="B115" s="3" t="s">
        <v>378</v>
      </c>
      <c r="C115" s="3" t="s">
        <v>275</v>
      </c>
      <c r="D115" s="3" t="s">
        <v>126</v>
      </c>
      <c r="E115" s="3">
        <v>0.3</v>
      </c>
      <c r="F115" s="3" t="s">
        <v>118</v>
      </c>
      <c r="G115" s="4">
        <v>885000</v>
      </c>
      <c r="H115" s="4">
        <v>265500</v>
      </c>
      <c r="I115" s="4">
        <v>885000</v>
      </c>
      <c r="J115" s="4">
        <v>265500</v>
      </c>
      <c r="K115" s="4" t="s">
        <v>10</v>
      </c>
      <c r="L115" s="4">
        <v>0</v>
      </c>
      <c r="M115" s="4" t="s">
        <v>10</v>
      </c>
      <c r="N115" s="4">
        <v>0</v>
      </c>
      <c r="O115" s="3" t="s">
        <v>127</v>
      </c>
      <c r="P115" s="11"/>
      <c r="Q115" s="11"/>
      <c r="R115" s="7"/>
      <c r="S115" s="7"/>
      <c r="T115" s="7"/>
      <c r="U115" s="7"/>
      <c r="V115" s="7"/>
      <c r="W115" s="7"/>
      <c r="X115" s="22"/>
      <c r="Y115" s="7"/>
      <c r="Z115" s="7"/>
      <c r="AA115" s="7"/>
      <c r="AB115" s="9"/>
      <c r="AC115" s="9"/>
      <c r="AD115" s="24"/>
      <c r="AE115" s="24"/>
      <c r="AF115" s="24"/>
      <c r="AG115" s="24"/>
      <c r="AH115" s="24"/>
      <c r="AI115" s="24"/>
      <c r="AJ115" s="24"/>
    </row>
    <row r="116" spans="1:36" x14ac:dyDescent="0.3">
      <c r="A116" s="12" t="s">
        <v>409</v>
      </c>
      <c r="B116" s="3" t="s">
        <v>378</v>
      </c>
      <c r="C116" s="3" t="s">
        <v>276</v>
      </c>
      <c r="D116" s="3" t="s">
        <v>10</v>
      </c>
      <c r="E116" s="3">
        <v>19.23</v>
      </c>
      <c r="F116" s="3" t="s">
        <v>118</v>
      </c>
      <c r="G116" s="4">
        <v>1737</v>
      </c>
      <c r="H116" s="4">
        <v>33403</v>
      </c>
      <c r="I116" s="4" t="s">
        <v>10</v>
      </c>
      <c r="J116" s="4">
        <v>0</v>
      </c>
      <c r="K116" s="4" t="s">
        <v>10</v>
      </c>
      <c r="L116" s="4">
        <v>0</v>
      </c>
      <c r="M116" s="4">
        <v>1737</v>
      </c>
      <c r="N116" s="4">
        <v>33403</v>
      </c>
      <c r="O116" s="3" t="s">
        <v>130</v>
      </c>
      <c r="P116" s="11"/>
      <c r="Q116" s="11"/>
      <c r="R116" s="7"/>
      <c r="S116" s="7"/>
      <c r="T116" s="7"/>
      <c r="U116" s="7"/>
      <c r="V116" s="7"/>
      <c r="W116" s="7"/>
      <c r="X116" s="22"/>
      <c r="Y116" s="7"/>
      <c r="Z116" s="7"/>
      <c r="AA116" s="7"/>
      <c r="AB116" s="9"/>
      <c r="AC116" s="9"/>
      <c r="AD116" s="24"/>
      <c r="AE116" s="24"/>
      <c r="AF116" s="24"/>
      <c r="AG116" s="24"/>
      <c r="AH116" s="24"/>
      <c r="AI116" s="24"/>
      <c r="AJ116" s="24"/>
    </row>
    <row r="117" spans="1:36" x14ac:dyDescent="0.3">
      <c r="A117" s="12" t="s">
        <v>409</v>
      </c>
      <c r="B117" s="3" t="s">
        <v>379</v>
      </c>
      <c r="C117" s="3" t="s">
        <v>277</v>
      </c>
      <c r="D117" s="3" t="s">
        <v>133</v>
      </c>
      <c r="E117" s="3">
        <v>0</v>
      </c>
      <c r="F117" s="3" t="s">
        <v>118</v>
      </c>
      <c r="G117" s="4">
        <v>658244</v>
      </c>
      <c r="H117" s="4">
        <v>0</v>
      </c>
      <c r="I117" s="4">
        <v>111902</v>
      </c>
      <c r="J117" s="4">
        <v>0</v>
      </c>
      <c r="K117" s="4">
        <v>546342</v>
      </c>
      <c r="L117" s="4">
        <v>0</v>
      </c>
      <c r="M117" s="4" t="s">
        <v>10</v>
      </c>
      <c r="N117" s="4">
        <v>0</v>
      </c>
      <c r="O117" s="3" t="s">
        <v>134</v>
      </c>
      <c r="P117" s="11"/>
      <c r="Q117" s="11"/>
      <c r="R117" s="7"/>
      <c r="S117" s="7"/>
      <c r="T117" s="7"/>
      <c r="U117" s="7"/>
      <c r="V117" s="7"/>
      <c r="W117" s="7"/>
      <c r="X117" s="22"/>
      <c r="Y117" s="7"/>
      <c r="Z117" s="7"/>
      <c r="AA117" s="7"/>
      <c r="AB117" s="9"/>
      <c r="AC117" s="9"/>
      <c r="AD117" s="24"/>
      <c r="AE117" s="24"/>
      <c r="AF117" s="24"/>
      <c r="AG117" s="24"/>
      <c r="AH117" s="24"/>
      <c r="AI117" s="24"/>
      <c r="AJ117" s="24"/>
    </row>
    <row r="118" spans="1:36" x14ac:dyDescent="0.3">
      <c r="A118" s="12" t="s">
        <v>409</v>
      </c>
      <c r="B118" s="3" t="s">
        <v>378</v>
      </c>
      <c r="C118" s="3" t="s">
        <v>278</v>
      </c>
      <c r="D118" s="3" t="s">
        <v>135</v>
      </c>
      <c r="E118" s="3">
        <v>1.28</v>
      </c>
      <c r="F118" s="3" t="s">
        <v>118</v>
      </c>
      <c r="G118" s="4">
        <v>210000</v>
      </c>
      <c r="H118" s="4">
        <v>268800</v>
      </c>
      <c r="I118" s="4" t="s">
        <v>10</v>
      </c>
      <c r="J118" s="4">
        <v>0</v>
      </c>
      <c r="K118" s="4" t="s">
        <v>10</v>
      </c>
      <c r="L118" s="4">
        <v>0</v>
      </c>
      <c r="M118" s="4">
        <v>210000</v>
      </c>
      <c r="N118" s="4">
        <v>268800</v>
      </c>
      <c r="O118" s="3" t="s">
        <v>136</v>
      </c>
      <c r="P118" s="11"/>
      <c r="Q118" s="11"/>
      <c r="R118" s="7"/>
      <c r="S118" s="7"/>
      <c r="T118" s="7"/>
      <c r="U118" s="7"/>
      <c r="V118" s="7"/>
      <c r="W118" s="7"/>
      <c r="X118" s="22"/>
      <c r="Y118" s="7"/>
      <c r="Z118" s="7"/>
      <c r="AA118" s="7"/>
      <c r="AB118" s="9"/>
      <c r="AC118" s="9"/>
      <c r="AD118" s="24"/>
      <c r="AE118" s="24"/>
      <c r="AF118" s="24"/>
      <c r="AG118" s="24"/>
      <c r="AH118" s="24"/>
      <c r="AI118" s="24"/>
      <c r="AJ118" s="24"/>
    </row>
    <row r="119" spans="1:36" x14ac:dyDescent="0.3">
      <c r="A119" s="12">
        <v>6</v>
      </c>
      <c r="B119" s="3" t="s">
        <v>433</v>
      </c>
      <c r="C119" s="3" t="s">
        <v>284</v>
      </c>
      <c r="D119" s="3" t="s">
        <v>10</v>
      </c>
      <c r="E119" s="3" t="s">
        <v>10</v>
      </c>
      <c r="F119" s="3" t="s">
        <v>10</v>
      </c>
      <c r="G119" s="4" t="s">
        <v>10</v>
      </c>
      <c r="H119" s="4">
        <v>247655721</v>
      </c>
      <c r="I119" s="4" t="s">
        <v>10</v>
      </c>
      <c r="J119" s="4">
        <v>152269817</v>
      </c>
      <c r="K119" s="4" t="s">
        <v>10</v>
      </c>
      <c r="L119" s="4">
        <v>92134837</v>
      </c>
      <c r="M119" s="4" t="s">
        <v>10</v>
      </c>
      <c r="N119" s="4">
        <v>3251067</v>
      </c>
      <c r="O119" s="3" t="s">
        <v>10</v>
      </c>
      <c r="P119" s="11">
        <f>MIN(P120:P154)</f>
        <v>46044</v>
      </c>
      <c r="Q119" s="11">
        <f>MAX(Q120:Q154)</f>
        <v>46075</v>
      </c>
      <c r="R119" s="22">
        <f>Q119-P119</f>
        <v>31</v>
      </c>
      <c r="S119" s="7"/>
      <c r="T119" s="7"/>
      <c r="U119" s="7"/>
      <c r="V119" s="7"/>
      <c r="W119" s="7"/>
      <c r="X119" s="22"/>
      <c r="Y119" s="7"/>
      <c r="Z119" s="7"/>
      <c r="AA119" s="7"/>
      <c r="AB119" s="9"/>
      <c r="AC119" s="9"/>
      <c r="AD119" s="24"/>
      <c r="AE119" s="24"/>
      <c r="AF119" s="24"/>
      <c r="AG119" s="24"/>
      <c r="AH119" s="24"/>
      <c r="AI119" s="24"/>
      <c r="AJ119" s="24"/>
    </row>
    <row r="120" spans="1:36" x14ac:dyDescent="0.3">
      <c r="A120" s="12">
        <v>7</v>
      </c>
      <c r="B120" s="3" t="s">
        <v>347</v>
      </c>
      <c r="C120" s="3" t="s">
        <v>285</v>
      </c>
      <c r="D120" s="3" t="s">
        <v>10</v>
      </c>
      <c r="E120" s="3" t="s">
        <v>10</v>
      </c>
      <c r="F120" s="3" t="s">
        <v>10</v>
      </c>
      <c r="G120" s="4" t="s">
        <v>10</v>
      </c>
      <c r="H120" s="4">
        <v>204033954</v>
      </c>
      <c r="I120" s="4" t="s">
        <v>10</v>
      </c>
      <c r="J120" s="4">
        <v>124186434</v>
      </c>
      <c r="K120" s="4" t="s">
        <v>10</v>
      </c>
      <c r="L120" s="4">
        <v>77044871</v>
      </c>
      <c r="M120" s="4" t="s">
        <v>10</v>
      </c>
      <c r="N120" s="4">
        <v>2802649</v>
      </c>
      <c r="O120" s="3" t="s">
        <v>10</v>
      </c>
      <c r="P120" s="11">
        <v>46044</v>
      </c>
      <c r="Q120" s="11">
        <v>46050</v>
      </c>
      <c r="R120" s="22">
        <v>6</v>
      </c>
      <c r="S120" s="7"/>
      <c r="T120" s="7"/>
      <c r="U120" s="7"/>
      <c r="V120" s="20" t="s">
        <v>422</v>
      </c>
      <c r="W120" s="20" t="s">
        <v>418</v>
      </c>
      <c r="X120" s="22" t="s">
        <v>412</v>
      </c>
      <c r="Y120" s="19"/>
      <c r="Z120" s="7"/>
      <c r="AA120" s="7"/>
      <c r="AB120" s="9"/>
      <c r="AC120" s="9"/>
      <c r="AD120" s="24"/>
      <c r="AE120" s="24"/>
      <c r="AF120" s="24"/>
      <c r="AG120" s="24"/>
      <c r="AH120" s="24"/>
      <c r="AI120" s="24"/>
      <c r="AJ120" s="24"/>
    </row>
    <row r="121" spans="1:36" x14ac:dyDescent="0.3">
      <c r="A121" s="12" t="s">
        <v>409</v>
      </c>
      <c r="B121" s="3" t="s">
        <v>380</v>
      </c>
      <c r="C121" s="3" t="s">
        <v>286</v>
      </c>
      <c r="D121" s="3" t="s">
        <v>10</v>
      </c>
      <c r="E121" s="3">
        <v>70</v>
      </c>
      <c r="F121" s="3" t="s">
        <v>36</v>
      </c>
      <c r="G121" s="4">
        <v>3663</v>
      </c>
      <c r="H121" s="4">
        <v>256410</v>
      </c>
      <c r="I121" s="4">
        <v>3489</v>
      </c>
      <c r="J121" s="4">
        <v>244230</v>
      </c>
      <c r="K121" s="4">
        <v>174</v>
      </c>
      <c r="L121" s="4">
        <v>12180</v>
      </c>
      <c r="M121" s="4" t="s">
        <v>10</v>
      </c>
      <c r="N121" s="4">
        <v>0</v>
      </c>
      <c r="O121" s="3" t="s">
        <v>140</v>
      </c>
      <c r="P121" s="11"/>
      <c r="Q121" s="11"/>
      <c r="R121" s="7"/>
      <c r="S121" s="7"/>
      <c r="T121" s="7"/>
      <c r="U121" s="7"/>
      <c r="V121" s="7"/>
      <c r="W121" s="7"/>
      <c r="X121" s="22"/>
      <c r="Y121" s="7"/>
      <c r="Z121" s="7"/>
      <c r="AA121" s="7"/>
      <c r="AB121" s="9"/>
      <c r="AC121" s="9"/>
      <c r="AD121" s="24"/>
      <c r="AE121" s="24"/>
      <c r="AF121" s="24"/>
      <c r="AG121" s="24"/>
      <c r="AH121" s="24"/>
      <c r="AI121" s="24"/>
      <c r="AJ121" s="24"/>
    </row>
    <row r="122" spans="1:36" x14ac:dyDescent="0.3">
      <c r="A122" s="12" t="s">
        <v>409</v>
      </c>
      <c r="B122" s="3" t="s">
        <v>381</v>
      </c>
      <c r="C122" s="3" t="s">
        <v>287</v>
      </c>
      <c r="D122" s="3" t="s">
        <v>141</v>
      </c>
      <c r="E122" s="3">
        <v>5</v>
      </c>
      <c r="F122" s="3" t="s">
        <v>69</v>
      </c>
      <c r="G122" s="4">
        <v>607400</v>
      </c>
      <c r="H122" s="4">
        <v>3037000</v>
      </c>
      <c r="I122" s="4">
        <v>207400</v>
      </c>
      <c r="J122" s="4">
        <v>1037000</v>
      </c>
      <c r="K122" s="4">
        <v>100000</v>
      </c>
      <c r="L122" s="4">
        <v>500000</v>
      </c>
      <c r="M122" s="4">
        <v>300000</v>
      </c>
      <c r="N122" s="4">
        <v>1500000</v>
      </c>
      <c r="O122" s="3" t="s">
        <v>142</v>
      </c>
      <c r="P122" s="11"/>
      <c r="Q122" s="11"/>
      <c r="R122" s="7"/>
      <c r="S122" s="7"/>
      <c r="T122" s="7"/>
      <c r="U122" s="7"/>
      <c r="V122" s="7"/>
      <c r="W122" s="7"/>
      <c r="X122" s="22"/>
      <c r="Y122" s="7"/>
      <c r="Z122" s="7"/>
      <c r="AA122" s="7"/>
      <c r="AB122" s="9"/>
      <c r="AC122" s="9"/>
      <c r="AD122" s="24"/>
      <c r="AE122" s="24"/>
      <c r="AF122" s="24"/>
      <c r="AG122" s="24"/>
      <c r="AH122" s="24"/>
      <c r="AI122" s="24"/>
      <c r="AJ122" s="24"/>
    </row>
    <row r="123" spans="1:36" x14ac:dyDescent="0.3">
      <c r="A123" s="12" t="s">
        <v>409</v>
      </c>
      <c r="B123" s="3" t="s">
        <v>380</v>
      </c>
      <c r="C123" s="3" t="s">
        <v>288</v>
      </c>
      <c r="D123" s="3" t="s">
        <v>143</v>
      </c>
      <c r="E123" s="3">
        <v>407</v>
      </c>
      <c r="F123" s="3" t="s">
        <v>69</v>
      </c>
      <c r="G123" s="4">
        <v>1930</v>
      </c>
      <c r="H123" s="4">
        <v>785510</v>
      </c>
      <c r="I123" s="4">
        <v>174</v>
      </c>
      <c r="J123" s="4">
        <v>70818</v>
      </c>
      <c r="K123" s="4">
        <v>1332</v>
      </c>
      <c r="L123" s="4">
        <v>542124</v>
      </c>
      <c r="M123" s="4">
        <v>424</v>
      </c>
      <c r="N123" s="4">
        <v>172568</v>
      </c>
      <c r="O123" s="3" t="s">
        <v>144</v>
      </c>
      <c r="P123" s="11"/>
      <c r="Q123" s="11"/>
      <c r="R123" s="7"/>
      <c r="S123" s="7"/>
      <c r="T123" s="7"/>
      <c r="U123" s="7"/>
      <c r="V123" s="7"/>
      <c r="W123" s="7"/>
      <c r="X123" s="22"/>
      <c r="Y123" s="7"/>
      <c r="Z123" s="7"/>
      <c r="AA123" s="7"/>
      <c r="AB123" s="9"/>
      <c r="AC123" s="9"/>
      <c r="AD123" s="24"/>
      <c r="AE123" s="24"/>
      <c r="AF123" s="24"/>
      <c r="AG123" s="24"/>
      <c r="AH123" s="24"/>
      <c r="AI123" s="24"/>
      <c r="AJ123" s="24"/>
    </row>
    <row r="124" spans="1:36" x14ac:dyDescent="0.3">
      <c r="A124" s="12" t="s">
        <v>409</v>
      </c>
      <c r="B124" s="3" t="s">
        <v>380</v>
      </c>
      <c r="C124" s="3" t="s">
        <v>289</v>
      </c>
      <c r="D124" s="3" t="s">
        <v>145</v>
      </c>
      <c r="E124" s="3">
        <v>629</v>
      </c>
      <c r="F124" s="3" t="s">
        <v>69</v>
      </c>
      <c r="G124" s="4">
        <v>779</v>
      </c>
      <c r="H124" s="4">
        <v>489991</v>
      </c>
      <c r="I124" s="4">
        <v>285</v>
      </c>
      <c r="J124" s="4">
        <v>179265</v>
      </c>
      <c r="K124" s="4">
        <v>485</v>
      </c>
      <c r="L124" s="4">
        <v>305065</v>
      </c>
      <c r="M124" s="4">
        <v>9</v>
      </c>
      <c r="N124" s="4">
        <v>5661</v>
      </c>
      <c r="O124" s="3" t="s">
        <v>146</v>
      </c>
      <c r="P124" s="11"/>
      <c r="Q124" s="11"/>
      <c r="R124" s="7"/>
      <c r="S124" s="7"/>
      <c r="T124" s="7"/>
      <c r="U124" s="7"/>
      <c r="V124" s="7"/>
      <c r="W124" s="7"/>
      <c r="X124" s="22"/>
      <c r="Y124" s="7"/>
      <c r="Z124" s="7"/>
      <c r="AA124" s="7"/>
      <c r="AB124" s="9"/>
      <c r="AC124" s="9"/>
      <c r="AD124" s="24"/>
      <c r="AE124" s="24"/>
      <c r="AF124" s="24"/>
      <c r="AG124" s="24"/>
      <c r="AH124" s="24"/>
      <c r="AI124" s="24"/>
      <c r="AJ124" s="24"/>
    </row>
    <row r="125" spans="1:36" x14ac:dyDescent="0.3">
      <c r="A125" s="12" t="s">
        <v>409</v>
      </c>
      <c r="B125" s="3" t="s">
        <v>380</v>
      </c>
      <c r="C125" s="3" t="s">
        <v>290</v>
      </c>
      <c r="D125" s="3" t="s">
        <v>147</v>
      </c>
      <c r="E125" s="3">
        <v>407</v>
      </c>
      <c r="F125" s="3" t="s">
        <v>69</v>
      </c>
      <c r="G125" s="4">
        <v>29442</v>
      </c>
      <c r="H125" s="4">
        <v>11982894</v>
      </c>
      <c r="I125" s="4">
        <v>13838</v>
      </c>
      <c r="J125" s="4">
        <v>5632066</v>
      </c>
      <c r="K125" s="4">
        <v>15604</v>
      </c>
      <c r="L125" s="4">
        <v>6350828</v>
      </c>
      <c r="M125" s="4" t="s">
        <v>10</v>
      </c>
      <c r="N125" s="4">
        <v>0</v>
      </c>
      <c r="O125" s="3" t="s">
        <v>148</v>
      </c>
      <c r="P125" s="11"/>
      <c r="Q125" s="11"/>
      <c r="R125" s="7"/>
      <c r="S125" s="7"/>
      <c r="T125" s="7"/>
      <c r="U125" s="7"/>
      <c r="V125" s="7"/>
      <c r="W125" s="7"/>
      <c r="X125" s="22"/>
      <c r="Y125" s="7"/>
      <c r="Z125" s="7"/>
      <c r="AA125" s="7"/>
      <c r="AB125" s="9"/>
      <c r="AC125" s="9"/>
      <c r="AD125" s="24"/>
      <c r="AE125" s="24"/>
      <c r="AF125" s="24"/>
      <c r="AG125" s="24"/>
      <c r="AH125" s="24"/>
      <c r="AI125" s="24"/>
      <c r="AJ125" s="24"/>
    </row>
    <row r="126" spans="1:36" x14ac:dyDescent="0.3">
      <c r="A126" s="12" t="s">
        <v>409</v>
      </c>
      <c r="B126" s="3" t="s">
        <v>381</v>
      </c>
      <c r="C126" s="3" t="s">
        <v>246</v>
      </c>
      <c r="D126" s="3" t="s">
        <v>149</v>
      </c>
      <c r="E126" s="3">
        <v>45.28</v>
      </c>
      <c r="F126" s="3" t="s">
        <v>55</v>
      </c>
      <c r="G126" s="4">
        <v>85918</v>
      </c>
      <c r="H126" s="4">
        <v>3890367</v>
      </c>
      <c r="I126" s="4">
        <v>85918</v>
      </c>
      <c r="J126" s="4">
        <v>3890367</v>
      </c>
      <c r="K126" s="4" t="s">
        <v>10</v>
      </c>
      <c r="L126" s="4">
        <v>0</v>
      </c>
      <c r="M126" s="4" t="s">
        <v>10</v>
      </c>
      <c r="N126" s="4">
        <v>0</v>
      </c>
      <c r="O126" s="3" t="s">
        <v>150</v>
      </c>
      <c r="P126" s="11"/>
      <c r="Q126" s="11"/>
      <c r="R126" s="7"/>
      <c r="S126" s="7"/>
      <c r="T126" s="7"/>
      <c r="U126" s="7"/>
      <c r="V126" s="7"/>
      <c r="W126" s="7"/>
      <c r="X126" s="22"/>
      <c r="Y126" s="7"/>
      <c r="Z126" s="7"/>
      <c r="AA126" s="7"/>
      <c r="AB126" s="9"/>
      <c r="AC126" s="9"/>
      <c r="AD126" s="24"/>
      <c r="AE126" s="24"/>
      <c r="AF126" s="24"/>
      <c r="AG126" s="24"/>
      <c r="AH126" s="24"/>
      <c r="AI126" s="24"/>
      <c r="AJ126" s="24"/>
    </row>
    <row r="127" spans="1:36" x14ac:dyDescent="0.3">
      <c r="A127" s="12" t="s">
        <v>409</v>
      </c>
      <c r="B127" s="3" t="s">
        <v>381</v>
      </c>
      <c r="C127" s="3" t="s">
        <v>246</v>
      </c>
      <c r="D127" s="3" t="s">
        <v>82</v>
      </c>
      <c r="E127" s="3">
        <v>179.7</v>
      </c>
      <c r="F127" s="3" t="s">
        <v>55</v>
      </c>
      <c r="G127" s="4">
        <v>98164</v>
      </c>
      <c r="H127" s="4">
        <v>17640071</v>
      </c>
      <c r="I127" s="4">
        <v>98164</v>
      </c>
      <c r="J127" s="4">
        <v>17640071</v>
      </c>
      <c r="K127" s="4" t="s">
        <v>10</v>
      </c>
      <c r="L127" s="4">
        <v>0</v>
      </c>
      <c r="M127" s="4" t="s">
        <v>10</v>
      </c>
      <c r="N127" s="4">
        <v>0</v>
      </c>
      <c r="O127" s="3" t="s">
        <v>83</v>
      </c>
      <c r="P127" s="11"/>
      <c r="Q127" s="11"/>
      <c r="R127" s="7"/>
      <c r="S127" s="7"/>
      <c r="T127" s="7"/>
      <c r="U127" s="7"/>
      <c r="V127" s="7"/>
      <c r="W127" s="7"/>
      <c r="X127" s="22"/>
      <c r="Y127" s="7"/>
      <c r="Z127" s="7"/>
      <c r="AA127" s="7"/>
      <c r="AB127" s="9"/>
      <c r="AC127" s="9"/>
      <c r="AD127" s="24"/>
      <c r="AE127" s="24"/>
      <c r="AF127" s="24"/>
      <c r="AG127" s="24"/>
      <c r="AH127" s="24"/>
      <c r="AI127" s="24"/>
      <c r="AJ127" s="24"/>
    </row>
    <row r="128" spans="1:36" x14ac:dyDescent="0.3">
      <c r="A128" s="12" t="s">
        <v>409</v>
      </c>
      <c r="B128" s="3" t="s">
        <v>380</v>
      </c>
      <c r="C128" s="3" t="s">
        <v>291</v>
      </c>
      <c r="D128" s="3" t="s">
        <v>151</v>
      </c>
      <c r="E128" s="3">
        <v>382</v>
      </c>
      <c r="F128" s="3" t="s">
        <v>96</v>
      </c>
      <c r="G128" s="4">
        <v>84260</v>
      </c>
      <c r="H128" s="4">
        <v>32187320</v>
      </c>
      <c r="I128" s="4">
        <v>1876</v>
      </c>
      <c r="J128" s="4">
        <v>716632</v>
      </c>
      <c r="K128" s="4">
        <v>82384</v>
      </c>
      <c r="L128" s="4">
        <v>31470688</v>
      </c>
      <c r="M128" s="4" t="s">
        <v>10</v>
      </c>
      <c r="N128" s="4">
        <v>0</v>
      </c>
      <c r="O128" s="3" t="s">
        <v>152</v>
      </c>
      <c r="P128" s="11"/>
      <c r="Q128" s="11"/>
      <c r="R128" s="7"/>
      <c r="S128" s="7"/>
      <c r="T128" s="7"/>
      <c r="U128" s="7"/>
      <c r="V128" s="7"/>
      <c r="W128" s="7"/>
      <c r="X128" s="22"/>
      <c r="Y128" s="7"/>
      <c r="Z128" s="7"/>
      <c r="AA128" s="7"/>
      <c r="AB128" s="9"/>
      <c r="AC128" s="9"/>
      <c r="AD128" s="24"/>
      <c r="AE128" s="24"/>
      <c r="AF128" s="24"/>
      <c r="AG128" s="24"/>
      <c r="AH128" s="24"/>
      <c r="AI128" s="24"/>
      <c r="AJ128" s="24"/>
    </row>
    <row r="129" spans="1:36" x14ac:dyDescent="0.3">
      <c r="A129" s="12" t="s">
        <v>409</v>
      </c>
      <c r="B129" s="3" t="s">
        <v>380</v>
      </c>
      <c r="C129" s="3" t="s">
        <v>291</v>
      </c>
      <c r="D129" s="3" t="s">
        <v>153</v>
      </c>
      <c r="E129" s="3">
        <v>41</v>
      </c>
      <c r="F129" s="3" t="s">
        <v>96</v>
      </c>
      <c r="G129" s="4">
        <v>86021</v>
      </c>
      <c r="H129" s="4">
        <v>3526861</v>
      </c>
      <c r="I129" s="4">
        <v>3637</v>
      </c>
      <c r="J129" s="4">
        <v>149117</v>
      </c>
      <c r="K129" s="4">
        <v>82384</v>
      </c>
      <c r="L129" s="4">
        <v>3377744</v>
      </c>
      <c r="M129" s="4" t="s">
        <v>10</v>
      </c>
      <c r="N129" s="4">
        <v>0</v>
      </c>
      <c r="O129" s="3" t="s">
        <v>154</v>
      </c>
      <c r="P129" s="11"/>
      <c r="Q129" s="11"/>
      <c r="R129" s="7"/>
      <c r="S129" s="7"/>
      <c r="T129" s="7"/>
      <c r="U129" s="7"/>
      <c r="V129" s="7"/>
      <c r="W129" s="7"/>
      <c r="X129" s="22"/>
      <c r="Y129" s="7"/>
      <c r="Z129" s="7"/>
      <c r="AA129" s="7"/>
      <c r="AB129" s="9"/>
      <c r="AC129" s="9"/>
      <c r="AD129" s="24"/>
      <c r="AE129" s="24"/>
      <c r="AF129" s="24"/>
      <c r="AG129" s="24"/>
      <c r="AH129" s="24"/>
      <c r="AI129" s="24"/>
      <c r="AJ129" s="24"/>
    </row>
    <row r="130" spans="1:36" x14ac:dyDescent="0.3">
      <c r="A130" s="12" t="s">
        <v>409</v>
      </c>
      <c r="B130" s="3" t="s">
        <v>380</v>
      </c>
      <c r="C130" s="3" t="s">
        <v>257</v>
      </c>
      <c r="D130" s="3" t="s">
        <v>84</v>
      </c>
      <c r="E130" s="3">
        <v>56.96</v>
      </c>
      <c r="F130" s="3" t="s">
        <v>69</v>
      </c>
      <c r="G130" s="4">
        <v>108218</v>
      </c>
      <c r="H130" s="4">
        <v>6164097</v>
      </c>
      <c r="I130" s="4">
        <v>45888</v>
      </c>
      <c r="J130" s="4">
        <v>2613780</v>
      </c>
      <c r="K130" s="4">
        <v>61952</v>
      </c>
      <c r="L130" s="4">
        <v>3528786</v>
      </c>
      <c r="M130" s="4">
        <v>378</v>
      </c>
      <c r="N130" s="4">
        <v>21531</v>
      </c>
      <c r="O130" s="3" t="s">
        <v>85</v>
      </c>
      <c r="P130" s="11"/>
      <c r="Q130" s="11"/>
      <c r="R130" s="7"/>
      <c r="S130" s="7"/>
      <c r="T130" s="7"/>
      <c r="U130" s="7"/>
      <c r="V130" s="7"/>
      <c r="W130" s="7"/>
      <c r="X130" s="22"/>
      <c r="Y130" s="7"/>
      <c r="Z130" s="7"/>
      <c r="AA130" s="7"/>
      <c r="AB130" s="9"/>
      <c r="AC130" s="9"/>
      <c r="AD130" s="24"/>
      <c r="AE130" s="24"/>
      <c r="AF130" s="24"/>
      <c r="AG130" s="24"/>
      <c r="AH130" s="24"/>
      <c r="AI130" s="24"/>
      <c r="AJ130" s="24"/>
    </row>
    <row r="131" spans="1:36" x14ac:dyDescent="0.3">
      <c r="A131" s="12" t="s">
        <v>409</v>
      </c>
      <c r="B131" s="3" t="s">
        <v>381</v>
      </c>
      <c r="C131" s="3" t="s">
        <v>258</v>
      </c>
      <c r="D131" s="3" t="s">
        <v>155</v>
      </c>
      <c r="E131" s="3">
        <v>74</v>
      </c>
      <c r="F131" s="3" t="s">
        <v>36</v>
      </c>
      <c r="G131" s="4">
        <v>418182</v>
      </c>
      <c r="H131" s="4">
        <v>30945468</v>
      </c>
      <c r="I131" s="4">
        <v>418182</v>
      </c>
      <c r="J131" s="4">
        <v>30945468</v>
      </c>
      <c r="K131" s="4" t="s">
        <v>10</v>
      </c>
      <c r="L131" s="4">
        <v>0</v>
      </c>
      <c r="M131" s="4" t="s">
        <v>10</v>
      </c>
      <c r="N131" s="4">
        <v>0</v>
      </c>
      <c r="O131" s="3" t="s">
        <v>156</v>
      </c>
      <c r="P131" s="11"/>
      <c r="Q131" s="11"/>
      <c r="R131" s="7"/>
      <c r="S131" s="7"/>
      <c r="T131" s="7"/>
      <c r="U131" s="7"/>
      <c r="V131" s="7"/>
      <c r="W131" s="7"/>
      <c r="X131" s="22"/>
      <c r="Y131" s="7"/>
      <c r="Z131" s="7"/>
      <c r="AA131" s="7"/>
      <c r="AB131" s="9"/>
      <c r="AC131" s="9"/>
      <c r="AD131" s="24"/>
      <c r="AE131" s="24"/>
      <c r="AF131" s="24"/>
      <c r="AG131" s="24"/>
      <c r="AH131" s="24"/>
      <c r="AI131" s="24"/>
      <c r="AJ131" s="24"/>
    </row>
    <row r="132" spans="1:36" x14ac:dyDescent="0.3">
      <c r="A132" s="12" t="s">
        <v>409</v>
      </c>
      <c r="B132" s="3" t="s">
        <v>381</v>
      </c>
      <c r="C132" s="3" t="s">
        <v>292</v>
      </c>
      <c r="D132" s="3" t="s">
        <v>157</v>
      </c>
      <c r="E132" s="3">
        <v>763</v>
      </c>
      <c r="F132" s="3" t="s">
        <v>14</v>
      </c>
      <c r="G132" s="4">
        <v>24000</v>
      </c>
      <c r="H132" s="4">
        <v>18312000</v>
      </c>
      <c r="I132" s="4">
        <v>24000</v>
      </c>
      <c r="J132" s="4">
        <v>18312000</v>
      </c>
      <c r="K132" s="4" t="s">
        <v>10</v>
      </c>
      <c r="L132" s="4">
        <v>0</v>
      </c>
      <c r="M132" s="4" t="s">
        <v>10</v>
      </c>
      <c r="N132" s="4">
        <v>0</v>
      </c>
      <c r="O132" s="3" t="s">
        <v>158</v>
      </c>
      <c r="P132" s="11"/>
      <c r="Q132" s="11"/>
      <c r="R132" s="7"/>
      <c r="S132" s="7"/>
      <c r="T132" s="7"/>
      <c r="U132" s="7"/>
      <c r="V132" s="7"/>
      <c r="W132" s="7"/>
      <c r="X132" s="22"/>
      <c r="Y132" s="7"/>
      <c r="Z132" s="7"/>
      <c r="AA132" s="7"/>
      <c r="AB132" s="9"/>
      <c r="AC132" s="9"/>
      <c r="AD132" s="24"/>
      <c r="AE132" s="24"/>
      <c r="AF132" s="24"/>
      <c r="AG132" s="24"/>
      <c r="AH132" s="24"/>
      <c r="AI132" s="24"/>
      <c r="AJ132" s="24"/>
    </row>
    <row r="133" spans="1:36" x14ac:dyDescent="0.3">
      <c r="A133" s="12" t="s">
        <v>409</v>
      </c>
      <c r="B133" s="3" t="s">
        <v>381</v>
      </c>
      <c r="C133" s="3" t="s">
        <v>260</v>
      </c>
      <c r="D133" s="3" t="s">
        <v>90</v>
      </c>
      <c r="E133" s="3">
        <v>172.47</v>
      </c>
      <c r="F133" s="3" t="s">
        <v>91</v>
      </c>
      <c r="G133" s="4">
        <v>1760</v>
      </c>
      <c r="H133" s="4">
        <v>303547</v>
      </c>
      <c r="I133" s="4">
        <v>1760</v>
      </c>
      <c r="J133" s="4">
        <v>303547</v>
      </c>
      <c r="K133" s="4" t="s">
        <v>10</v>
      </c>
      <c r="L133" s="4">
        <v>0</v>
      </c>
      <c r="M133" s="4" t="s">
        <v>10</v>
      </c>
      <c r="N133" s="4">
        <v>0</v>
      </c>
      <c r="O133" s="3" t="s">
        <v>92</v>
      </c>
      <c r="P133" s="11"/>
      <c r="Q133" s="11"/>
      <c r="R133" s="7"/>
      <c r="S133" s="7"/>
      <c r="T133" s="7"/>
      <c r="U133" s="7"/>
      <c r="V133" s="7"/>
      <c r="W133" s="7"/>
      <c r="X133" s="22"/>
      <c r="Y133" s="7"/>
      <c r="Z133" s="7"/>
      <c r="AA133" s="7"/>
      <c r="AB133" s="9"/>
      <c r="AC133" s="9"/>
      <c r="AD133" s="24"/>
      <c r="AE133" s="24"/>
      <c r="AF133" s="24"/>
      <c r="AG133" s="24"/>
      <c r="AH133" s="24"/>
      <c r="AI133" s="24"/>
      <c r="AJ133" s="24"/>
    </row>
    <row r="134" spans="1:36" x14ac:dyDescent="0.3">
      <c r="A134" s="12" t="s">
        <v>409</v>
      </c>
      <c r="B134" s="3" t="s">
        <v>381</v>
      </c>
      <c r="C134" s="3" t="s">
        <v>260</v>
      </c>
      <c r="D134" s="3" t="s">
        <v>93</v>
      </c>
      <c r="E134" s="3">
        <v>632.15</v>
      </c>
      <c r="F134" s="3" t="s">
        <v>69</v>
      </c>
      <c r="G134" s="4">
        <v>584</v>
      </c>
      <c r="H134" s="4">
        <v>369176</v>
      </c>
      <c r="I134" s="4">
        <v>584</v>
      </c>
      <c r="J134" s="4">
        <v>369176</v>
      </c>
      <c r="K134" s="4" t="s">
        <v>10</v>
      </c>
      <c r="L134" s="4">
        <v>0</v>
      </c>
      <c r="M134" s="4" t="s">
        <v>10</v>
      </c>
      <c r="N134" s="4">
        <v>0</v>
      </c>
      <c r="O134" s="3" t="s">
        <v>94</v>
      </c>
      <c r="P134" s="11"/>
      <c r="Q134" s="11"/>
      <c r="R134" s="7"/>
      <c r="S134" s="7"/>
      <c r="T134" s="7"/>
      <c r="U134" s="7"/>
      <c r="V134" s="7"/>
      <c r="W134" s="7"/>
      <c r="X134" s="22"/>
      <c r="Y134" s="7"/>
      <c r="Z134" s="7"/>
      <c r="AA134" s="7"/>
      <c r="AB134" s="9"/>
      <c r="AC134" s="9"/>
      <c r="AD134" s="24"/>
      <c r="AE134" s="24"/>
      <c r="AF134" s="24"/>
      <c r="AG134" s="24"/>
      <c r="AH134" s="24"/>
      <c r="AI134" s="24"/>
      <c r="AJ134" s="24"/>
    </row>
    <row r="135" spans="1:36" x14ac:dyDescent="0.3">
      <c r="A135" s="12" t="s">
        <v>409</v>
      </c>
      <c r="B135" s="3" t="s">
        <v>380</v>
      </c>
      <c r="C135" s="3" t="s">
        <v>293</v>
      </c>
      <c r="D135" s="3" t="s">
        <v>159</v>
      </c>
      <c r="E135" s="3">
        <v>148.01</v>
      </c>
      <c r="F135" s="3" t="s">
        <v>115</v>
      </c>
      <c r="G135" s="4">
        <v>1643</v>
      </c>
      <c r="H135" s="4">
        <v>243180</v>
      </c>
      <c r="I135" s="4">
        <v>251</v>
      </c>
      <c r="J135" s="4">
        <v>37151</v>
      </c>
      <c r="K135" s="4">
        <v>1051</v>
      </c>
      <c r="L135" s="4">
        <v>155559</v>
      </c>
      <c r="M135" s="4">
        <v>341</v>
      </c>
      <c r="N135" s="4">
        <v>50471</v>
      </c>
      <c r="O135" s="3" t="s">
        <v>160</v>
      </c>
      <c r="P135" s="11"/>
      <c r="Q135" s="11"/>
      <c r="R135" s="7"/>
      <c r="S135" s="7"/>
      <c r="T135" s="7"/>
      <c r="U135" s="7"/>
      <c r="V135" s="7"/>
      <c r="W135" s="7"/>
      <c r="X135" s="22"/>
      <c r="Y135" s="7"/>
      <c r="Z135" s="7"/>
      <c r="AA135" s="7"/>
      <c r="AB135" s="9"/>
      <c r="AC135" s="9"/>
      <c r="AD135" s="24"/>
      <c r="AE135" s="24"/>
      <c r="AF135" s="24"/>
      <c r="AG135" s="24"/>
      <c r="AH135" s="24"/>
      <c r="AI135" s="24"/>
      <c r="AJ135" s="24"/>
    </row>
    <row r="136" spans="1:36" x14ac:dyDescent="0.3">
      <c r="A136" s="12" t="s">
        <v>409</v>
      </c>
      <c r="B136" s="3" t="s">
        <v>380</v>
      </c>
      <c r="C136" s="3" t="s">
        <v>294</v>
      </c>
      <c r="D136" s="3" t="s">
        <v>161</v>
      </c>
      <c r="E136" s="3">
        <v>407.02</v>
      </c>
      <c r="F136" s="3" t="s">
        <v>115</v>
      </c>
      <c r="G136" s="4">
        <v>1844</v>
      </c>
      <c r="H136" s="4">
        <v>750545</v>
      </c>
      <c r="I136" s="4">
        <v>248</v>
      </c>
      <c r="J136" s="4">
        <v>100941</v>
      </c>
      <c r="K136" s="4">
        <v>1268</v>
      </c>
      <c r="L136" s="4">
        <v>516101</v>
      </c>
      <c r="M136" s="4">
        <v>328</v>
      </c>
      <c r="N136" s="4">
        <v>133503</v>
      </c>
      <c r="O136" s="3" t="s">
        <v>162</v>
      </c>
      <c r="P136" s="11"/>
      <c r="Q136" s="11"/>
      <c r="R136" s="7"/>
      <c r="S136" s="7"/>
      <c r="T136" s="7"/>
      <c r="U136" s="7"/>
      <c r="V136" s="7"/>
      <c r="W136" s="7"/>
      <c r="X136" s="22"/>
      <c r="Y136" s="7"/>
      <c r="Z136" s="7"/>
      <c r="AA136" s="7"/>
      <c r="AB136" s="9"/>
      <c r="AC136" s="9"/>
      <c r="AD136" s="24"/>
      <c r="AE136" s="24"/>
      <c r="AF136" s="24"/>
      <c r="AG136" s="24"/>
      <c r="AH136" s="24"/>
      <c r="AI136" s="24"/>
      <c r="AJ136" s="24"/>
    </row>
    <row r="137" spans="1:36" x14ac:dyDescent="0.3">
      <c r="A137" s="12" t="s">
        <v>409</v>
      </c>
      <c r="B137" s="3" t="s">
        <v>380</v>
      </c>
      <c r="C137" s="3" t="s">
        <v>295</v>
      </c>
      <c r="D137" s="3" t="s">
        <v>163</v>
      </c>
      <c r="E137" s="3">
        <v>442</v>
      </c>
      <c r="F137" s="3" t="s">
        <v>69</v>
      </c>
      <c r="G137" s="4">
        <v>9535</v>
      </c>
      <c r="H137" s="4">
        <v>4214470</v>
      </c>
      <c r="I137" s="4">
        <v>2861</v>
      </c>
      <c r="J137" s="4">
        <v>1264562</v>
      </c>
      <c r="K137" s="4">
        <v>6674</v>
      </c>
      <c r="L137" s="4">
        <v>2949908</v>
      </c>
      <c r="M137" s="4" t="s">
        <v>10</v>
      </c>
      <c r="N137" s="4">
        <v>0</v>
      </c>
      <c r="O137" s="3" t="s">
        <v>164</v>
      </c>
      <c r="P137" s="11"/>
      <c r="Q137" s="11"/>
      <c r="R137" s="7"/>
      <c r="S137" s="7"/>
      <c r="T137" s="7"/>
      <c r="U137" s="7"/>
      <c r="V137" s="7"/>
      <c r="W137" s="7"/>
      <c r="X137" s="22"/>
      <c r="Y137" s="7"/>
      <c r="Z137" s="7"/>
      <c r="AA137" s="7"/>
      <c r="AB137" s="9"/>
      <c r="AC137" s="9"/>
      <c r="AD137" s="24"/>
      <c r="AE137" s="24"/>
      <c r="AF137" s="24"/>
      <c r="AG137" s="24"/>
      <c r="AH137" s="24"/>
      <c r="AI137" s="24"/>
      <c r="AJ137" s="24"/>
    </row>
    <row r="138" spans="1:36" x14ac:dyDescent="0.3">
      <c r="A138" s="12" t="s">
        <v>409</v>
      </c>
      <c r="B138" s="3" t="s">
        <v>380</v>
      </c>
      <c r="C138" s="3" t="s">
        <v>296</v>
      </c>
      <c r="D138" s="3" t="s">
        <v>165</v>
      </c>
      <c r="E138" s="3">
        <v>95.38</v>
      </c>
      <c r="F138" s="3" t="s">
        <v>118</v>
      </c>
      <c r="G138" s="4">
        <v>103200</v>
      </c>
      <c r="H138" s="4">
        <v>9843216</v>
      </c>
      <c r="I138" s="4">
        <v>103200</v>
      </c>
      <c r="J138" s="4">
        <v>9843216</v>
      </c>
      <c r="K138" s="4" t="s">
        <v>10</v>
      </c>
      <c r="L138" s="4">
        <v>0</v>
      </c>
      <c r="M138" s="4" t="s">
        <v>10</v>
      </c>
      <c r="N138" s="4">
        <v>0</v>
      </c>
      <c r="O138" s="3" t="s">
        <v>166</v>
      </c>
      <c r="P138" s="11"/>
      <c r="Q138" s="11"/>
      <c r="R138" s="7"/>
      <c r="S138" s="7"/>
      <c r="T138" s="7"/>
      <c r="U138" s="7"/>
      <c r="V138" s="7"/>
      <c r="W138" s="7"/>
      <c r="X138" s="22"/>
      <c r="Y138" s="7"/>
      <c r="Z138" s="7"/>
      <c r="AA138" s="7"/>
      <c r="AB138" s="9"/>
      <c r="AC138" s="9"/>
      <c r="AD138" s="24"/>
      <c r="AE138" s="24"/>
      <c r="AF138" s="24"/>
      <c r="AG138" s="24"/>
      <c r="AH138" s="24"/>
      <c r="AI138" s="24"/>
      <c r="AJ138" s="24"/>
    </row>
    <row r="139" spans="1:36" x14ac:dyDescent="0.3">
      <c r="A139" s="12" t="s">
        <v>409</v>
      </c>
      <c r="B139" s="3" t="s">
        <v>380</v>
      </c>
      <c r="C139" s="3" t="s">
        <v>297</v>
      </c>
      <c r="D139" s="3" t="s">
        <v>167</v>
      </c>
      <c r="E139" s="3">
        <v>98</v>
      </c>
      <c r="F139" s="3" t="s">
        <v>36</v>
      </c>
      <c r="G139" s="4">
        <v>5717</v>
      </c>
      <c r="H139" s="4">
        <v>560266</v>
      </c>
      <c r="I139" s="4">
        <v>5453</v>
      </c>
      <c r="J139" s="4">
        <v>534394</v>
      </c>
      <c r="K139" s="4">
        <v>264</v>
      </c>
      <c r="L139" s="4">
        <v>25872</v>
      </c>
      <c r="M139" s="4" t="s">
        <v>10</v>
      </c>
      <c r="N139" s="4">
        <v>0</v>
      </c>
      <c r="O139" s="3" t="s">
        <v>168</v>
      </c>
      <c r="P139" s="11"/>
      <c r="Q139" s="11"/>
      <c r="R139" s="7"/>
      <c r="S139" s="7"/>
      <c r="T139" s="7"/>
      <c r="U139" s="7"/>
      <c r="V139" s="7"/>
      <c r="W139" s="7"/>
      <c r="X139" s="22"/>
      <c r="Y139" s="7"/>
      <c r="Z139" s="7"/>
      <c r="AA139" s="7"/>
      <c r="AB139" s="9"/>
      <c r="AC139" s="9"/>
      <c r="AD139" s="24"/>
      <c r="AE139" s="24"/>
      <c r="AF139" s="24"/>
      <c r="AG139" s="24"/>
      <c r="AH139" s="24"/>
      <c r="AI139" s="24"/>
      <c r="AJ139" s="24"/>
    </row>
    <row r="140" spans="1:36" x14ac:dyDescent="0.3">
      <c r="A140" s="12" t="s">
        <v>409</v>
      </c>
      <c r="B140" s="3" t="s">
        <v>381</v>
      </c>
      <c r="C140" s="3" t="s">
        <v>298</v>
      </c>
      <c r="D140" s="3" t="s">
        <v>169</v>
      </c>
      <c r="E140" s="3">
        <v>74</v>
      </c>
      <c r="F140" s="3" t="s">
        <v>36</v>
      </c>
      <c r="G140" s="4">
        <v>211818</v>
      </c>
      <c r="H140" s="4">
        <v>15674532</v>
      </c>
      <c r="I140" s="4">
        <v>211818</v>
      </c>
      <c r="J140" s="4">
        <v>15674532</v>
      </c>
      <c r="K140" s="4" t="s">
        <v>10</v>
      </c>
      <c r="L140" s="4">
        <v>0</v>
      </c>
      <c r="M140" s="4" t="s">
        <v>10</v>
      </c>
      <c r="N140" s="4">
        <v>0</v>
      </c>
      <c r="O140" s="3" t="s">
        <v>170</v>
      </c>
      <c r="P140" s="11"/>
      <c r="Q140" s="11"/>
      <c r="R140" s="7"/>
      <c r="S140" s="7"/>
      <c r="T140" s="7"/>
      <c r="U140" s="7"/>
      <c r="V140" s="7"/>
      <c r="W140" s="7"/>
      <c r="X140" s="22"/>
      <c r="Y140" s="7"/>
      <c r="Z140" s="7"/>
      <c r="AA140" s="7"/>
      <c r="AB140" s="9"/>
      <c r="AC140" s="9"/>
      <c r="AD140" s="24"/>
      <c r="AE140" s="24"/>
      <c r="AF140" s="24"/>
      <c r="AG140" s="24"/>
      <c r="AH140" s="24"/>
      <c r="AI140" s="24"/>
      <c r="AJ140" s="24"/>
    </row>
    <row r="141" spans="1:36" x14ac:dyDescent="0.3">
      <c r="A141" s="12" t="s">
        <v>409</v>
      </c>
      <c r="B141" s="3" t="s">
        <v>381</v>
      </c>
      <c r="C141" s="3" t="s">
        <v>299</v>
      </c>
      <c r="D141" s="3" t="s">
        <v>171</v>
      </c>
      <c r="E141" s="3">
        <v>74</v>
      </c>
      <c r="F141" s="3" t="s">
        <v>36</v>
      </c>
      <c r="G141" s="4">
        <v>72727</v>
      </c>
      <c r="H141" s="4">
        <v>5381798</v>
      </c>
      <c r="I141" s="4">
        <v>72727</v>
      </c>
      <c r="J141" s="4">
        <v>5381798</v>
      </c>
      <c r="K141" s="4" t="s">
        <v>10</v>
      </c>
      <c r="L141" s="4">
        <v>0</v>
      </c>
      <c r="M141" s="4" t="s">
        <v>10</v>
      </c>
      <c r="N141" s="4">
        <v>0</v>
      </c>
      <c r="O141" s="3" t="s">
        <v>172</v>
      </c>
      <c r="P141" s="11"/>
      <c r="Q141" s="11"/>
      <c r="R141" s="7"/>
      <c r="S141" s="7"/>
      <c r="T141" s="7"/>
      <c r="U141" s="7"/>
      <c r="V141" s="7"/>
      <c r="W141" s="7"/>
      <c r="X141" s="22"/>
      <c r="Y141" s="7"/>
      <c r="Z141" s="7"/>
      <c r="AA141" s="7"/>
      <c r="AB141" s="9"/>
      <c r="AC141" s="9"/>
      <c r="AD141" s="24"/>
      <c r="AE141" s="24"/>
      <c r="AF141" s="24"/>
      <c r="AG141" s="24"/>
      <c r="AH141" s="24"/>
      <c r="AI141" s="24"/>
      <c r="AJ141" s="24"/>
    </row>
    <row r="142" spans="1:36" x14ac:dyDescent="0.3">
      <c r="A142" s="12" t="s">
        <v>409</v>
      </c>
      <c r="B142" s="3" t="s">
        <v>380</v>
      </c>
      <c r="C142" s="3" t="s">
        <v>252</v>
      </c>
      <c r="D142" s="3" t="s">
        <v>73</v>
      </c>
      <c r="E142" s="3">
        <v>177.92</v>
      </c>
      <c r="F142" s="3" t="s">
        <v>55</v>
      </c>
      <c r="G142" s="4">
        <v>19370</v>
      </c>
      <c r="H142" s="4">
        <v>3446310</v>
      </c>
      <c r="I142" s="4">
        <v>1960</v>
      </c>
      <c r="J142" s="4">
        <v>348723</v>
      </c>
      <c r="K142" s="4">
        <v>12977</v>
      </c>
      <c r="L142" s="4">
        <v>2308868</v>
      </c>
      <c r="M142" s="4">
        <v>4433</v>
      </c>
      <c r="N142" s="4">
        <v>788719</v>
      </c>
      <c r="O142" s="3" t="s">
        <v>74</v>
      </c>
      <c r="P142" s="11"/>
      <c r="Q142" s="11"/>
      <c r="R142" s="7"/>
      <c r="S142" s="7"/>
      <c r="T142" s="7"/>
      <c r="U142" s="7"/>
      <c r="V142" s="7"/>
      <c r="W142" s="7"/>
      <c r="X142" s="22"/>
      <c r="Y142" s="7"/>
      <c r="Z142" s="7"/>
      <c r="AA142" s="7"/>
      <c r="AB142" s="9"/>
      <c r="AC142" s="9"/>
      <c r="AD142" s="24"/>
      <c r="AE142" s="24"/>
      <c r="AF142" s="24"/>
      <c r="AG142" s="24"/>
      <c r="AH142" s="24"/>
      <c r="AI142" s="24"/>
      <c r="AJ142" s="24"/>
    </row>
    <row r="143" spans="1:36" x14ac:dyDescent="0.3">
      <c r="A143" s="12" t="s">
        <v>409</v>
      </c>
      <c r="B143" s="3" t="s">
        <v>380</v>
      </c>
      <c r="C143" s="3" t="s">
        <v>254</v>
      </c>
      <c r="D143" s="3" t="s">
        <v>76</v>
      </c>
      <c r="E143" s="3">
        <v>44.4</v>
      </c>
      <c r="F143" s="3" t="s">
        <v>55</v>
      </c>
      <c r="G143" s="4">
        <v>25145</v>
      </c>
      <c r="H143" s="4">
        <v>1116438</v>
      </c>
      <c r="I143" s="4">
        <v>2205</v>
      </c>
      <c r="J143" s="4">
        <v>97902</v>
      </c>
      <c r="K143" s="4">
        <v>20116</v>
      </c>
      <c r="L143" s="4">
        <v>893150</v>
      </c>
      <c r="M143" s="4">
        <v>2824</v>
      </c>
      <c r="N143" s="4">
        <v>125386</v>
      </c>
      <c r="O143" s="3" t="s">
        <v>77</v>
      </c>
      <c r="P143" s="11"/>
      <c r="Q143" s="11"/>
      <c r="R143" s="7"/>
      <c r="S143" s="7"/>
      <c r="T143" s="7"/>
      <c r="U143" s="7"/>
      <c r="V143" s="7"/>
      <c r="W143" s="7"/>
      <c r="X143" s="22"/>
      <c r="Y143" s="7"/>
      <c r="Z143" s="7"/>
      <c r="AA143" s="7"/>
      <c r="AB143" s="9"/>
      <c r="AC143" s="9"/>
      <c r="AD143" s="24"/>
      <c r="AE143" s="24"/>
      <c r="AF143" s="24"/>
      <c r="AG143" s="24"/>
      <c r="AH143" s="24"/>
      <c r="AI143" s="24"/>
      <c r="AJ143" s="24"/>
    </row>
    <row r="144" spans="1:36" x14ac:dyDescent="0.3">
      <c r="A144" s="12" t="s">
        <v>409</v>
      </c>
      <c r="B144" s="3" t="s">
        <v>380</v>
      </c>
      <c r="C144" s="3" t="s">
        <v>300</v>
      </c>
      <c r="D144" s="3" t="s">
        <v>173</v>
      </c>
      <c r="E144" s="3">
        <v>962.04</v>
      </c>
      <c r="F144" s="3" t="s">
        <v>115</v>
      </c>
      <c r="G144" s="4">
        <v>386</v>
      </c>
      <c r="H144" s="4">
        <v>371347</v>
      </c>
      <c r="I144" s="4">
        <v>352</v>
      </c>
      <c r="J144" s="4">
        <v>338638</v>
      </c>
      <c r="K144" s="4">
        <v>29</v>
      </c>
      <c r="L144" s="4">
        <v>27899</v>
      </c>
      <c r="M144" s="4">
        <v>5</v>
      </c>
      <c r="N144" s="4">
        <v>4810</v>
      </c>
      <c r="O144" s="3" t="s">
        <v>174</v>
      </c>
      <c r="P144" s="11"/>
      <c r="Q144" s="11"/>
      <c r="R144" s="7"/>
      <c r="S144" s="7"/>
      <c r="T144" s="7"/>
      <c r="U144" s="7"/>
      <c r="V144" s="7"/>
      <c r="W144" s="7"/>
      <c r="X144" s="22"/>
      <c r="Y144" s="7"/>
      <c r="Z144" s="7"/>
      <c r="AA144" s="7"/>
      <c r="AB144" s="9"/>
      <c r="AC144" s="9"/>
      <c r="AD144" s="24"/>
      <c r="AE144" s="24"/>
      <c r="AF144" s="24"/>
      <c r="AG144" s="24"/>
      <c r="AH144" s="24"/>
      <c r="AI144" s="24"/>
      <c r="AJ144" s="24"/>
    </row>
    <row r="145" spans="1:36" x14ac:dyDescent="0.3">
      <c r="A145" s="12" t="s">
        <v>409</v>
      </c>
      <c r="B145" s="3" t="s">
        <v>381</v>
      </c>
      <c r="C145" s="3" t="s">
        <v>301</v>
      </c>
      <c r="D145" s="3" t="s">
        <v>175</v>
      </c>
      <c r="E145" s="3">
        <v>521</v>
      </c>
      <c r="F145" s="3" t="s">
        <v>14</v>
      </c>
      <c r="G145" s="4">
        <v>62459</v>
      </c>
      <c r="H145" s="4">
        <v>32541139</v>
      </c>
      <c r="I145" s="4">
        <v>16240</v>
      </c>
      <c r="J145" s="4">
        <v>8461040</v>
      </c>
      <c r="K145" s="4">
        <v>46219</v>
      </c>
      <c r="L145" s="4">
        <v>24080099</v>
      </c>
      <c r="M145" s="4" t="s">
        <v>10</v>
      </c>
      <c r="N145" s="4">
        <v>0</v>
      </c>
      <c r="O145" s="3" t="s">
        <v>176</v>
      </c>
      <c r="P145" s="11"/>
      <c r="Q145" s="11"/>
      <c r="R145" s="7"/>
      <c r="S145" s="7"/>
      <c r="T145" s="7"/>
      <c r="U145" s="7"/>
      <c r="V145" s="7"/>
      <c r="W145" s="7"/>
      <c r="X145" s="22"/>
      <c r="Y145" s="7"/>
      <c r="Z145" s="7"/>
      <c r="AA145" s="7"/>
      <c r="AB145" s="9"/>
      <c r="AC145" s="9"/>
      <c r="AD145" s="24"/>
      <c r="AE145" s="24"/>
      <c r="AF145" s="24"/>
      <c r="AG145" s="24"/>
      <c r="AH145" s="24"/>
      <c r="AI145" s="24"/>
      <c r="AJ145" s="24"/>
    </row>
    <row r="146" spans="1:36" x14ac:dyDescent="0.3">
      <c r="A146" s="12">
        <v>7</v>
      </c>
      <c r="B146" s="3" t="s">
        <v>346</v>
      </c>
      <c r="C146" s="3" t="s">
        <v>273</v>
      </c>
      <c r="D146" s="3" t="s">
        <v>10</v>
      </c>
      <c r="E146" s="3" t="s">
        <v>10</v>
      </c>
      <c r="F146" s="3" t="s">
        <v>10</v>
      </c>
      <c r="G146" s="4" t="s">
        <v>10</v>
      </c>
      <c r="H146" s="4">
        <v>43621767</v>
      </c>
      <c r="I146" s="4" t="s">
        <v>10</v>
      </c>
      <c r="J146" s="4">
        <v>28083383</v>
      </c>
      <c r="K146" s="4" t="s">
        <v>10</v>
      </c>
      <c r="L146" s="4">
        <v>15089966</v>
      </c>
      <c r="M146" s="4" t="s">
        <v>10</v>
      </c>
      <c r="N146" s="4">
        <v>448418</v>
      </c>
      <c r="O146" s="3" t="s">
        <v>10</v>
      </c>
      <c r="P146" s="11">
        <v>46051</v>
      </c>
      <c r="Q146" s="11">
        <v>46055</v>
      </c>
      <c r="R146" s="22">
        <v>4</v>
      </c>
      <c r="S146" s="7"/>
      <c r="T146" s="7"/>
      <c r="U146" s="7"/>
      <c r="V146" s="20" t="s">
        <v>345</v>
      </c>
      <c r="W146" s="20" t="s">
        <v>354</v>
      </c>
      <c r="X146" s="22" t="s">
        <v>415</v>
      </c>
      <c r="Y146" s="19"/>
      <c r="Z146" s="7"/>
      <c r="AA146" s="7"/>
      <c r="AB146" s="9"/>
      <c r="AC146" s="9"/>
      <c r="AD146" s="24"/>
      <c r="AE146" s="24"/>
      <c r="AF146" s="24"/>
      <c r="AG146" s="24"/>
      <c r="AH146" s="24"/>
      <c r="AI146" s="24"/>
      <c r="AJ146" s="24"/>
    </row>
    <row r="147" spans="1:36" x14ac:dyDescent="0.3">
      <c r="A147" s="12" t="s">
        <v>409</v>
      </c>
      <c r="B147" s="3" t="s">
        <v>382</v>
      </c>
      <c r="C147" s="3" t="s">
        <v>274</v>
      </c>
      <c r="D147" s="3" t="s">
        <v>117</v>
      </c>
      <c r="E147" s="3">
        <v>-0.57999999999999996</v>
      </c>
      <c r="F147" s="3" t="s">
        <v>118</v>
      </c>
      <c r="G147" s="4">
        <v>320000</v>
      </c>
      <c r="H147" s="4">
        <v>-185600</v>
      </c>
      <c r="I147" s="4">
        <v>320000</v>
      </c>
      <c r="J147" s="4">
        <v>-185600</v>
      </c>
      <c r="K147" s="4" t="s">
        <v>10</v>
      </c>
      <c r="L147" s="4">
        <v>0</v>
      </c>
      <c r="M147" s="4" t="s">
        <v>10</v>
      </c>
      <c r="N147" s="4">
        <v>0</v>
      </c>
      <c r="O147" s="3" t="s">
        <v>119</v>
      </c>
      <c r="P147" s="11"/>
      <c r="Q147" s="11"/>
      <c r="R147" s="7"/>
      <c r="S147" s="7"/>
      <c r="T147" s="7"/>
      <c r="U147" s="7"/>
      <c r="V147" s="7"/>
      <c r="W147" s="7"/>
      <c r="X147" s="22"/>
      <c r="Y147" s="7"/>
      <c r="Z147" s="7"/>
      <c r="AA147" s="7"/>
      <c r="AB147" s="9"/>
      <c r="AC147" s="9"/>
      <c r="AD147" s="24"/>
      <c r="AE147" s="24"/>
      <c r="AF147" s="24"/>
      <c r="AG147" s="24"/>
      <c r="AH147" s="24"/>
      <c r="AI147" s="24"/>
      <c r="AJ147" s="24"/>
    </row>
    <row r="148" spans="1:36" x14ac:dyDescent="0.3">
      <c r="A148" s="12" t="s">
        <v>409</v>
      </c>
      <c r="B148" s="3" t="s">
        <v>382</v>
      </c>
      <c r="C148" s="3" t="s">
        <v>275</v>
      </c>
      <c r="D148" s="3" t="s">
        <v>120</v>
      </c>
      <c r="E148" s="3">
        <v>1.28</v>
      </c>
      <c r="F148" s="3" t="s">
        <v>118</v>
      </c>
      <c r="G148" s="4">
        <v>885000</v>
      </c>
      <c r="H148" s="4">
        <v>1132800</v>
      </c>
      <c r="I148" s="4">
        <v>885000</v>
      </c>
      <c r="J148" s="4">
        <v>1132800</v>
      </c>
      <c r="K148" s="4" t="s">
        <v>10</v>
      </c>
      <c r="L148" s="4">
        <v>0</v>
      </c>
      <c r="M148" s="4" t="s">
        <v>10</v>
      </c>
      <c r="N148" s="4">
        <v>0</v>
      </c>
      <c r="O148" s="3" t="s">
        <v>121</v>
      </c>
      <c r="P148" s="11"/>
      <c r="Q148" s="11"/>
      <c r="R148" s="7"/>
      <c r="S148" s="7"/>
      <c r="T148" s="7"/>
      <c r="U148" s="7"/>
      <c r="V148" s="7"/>
      <c r="W148" s="7"/>
      <c r="X148" s="22"/>
      <c r="Y148" s="7"/>
      <c r="Z148" s="7"/>
      <c r="AA148" s="7"/>
      <c r="AB148" s="9"/>
      <c r="AC148" s="9"/>
      <c r="AD148" s="24"/>
      <c r="AE148" s="24"/>
      <c r="AF148" s="24"/>
      <c r="AG148" s="24"/>
      <c r="AH148" s="24"/>
      <c r="AI148" s="24"/>
      <c r="AJ148" s="24"/>
    </row>
    <row r="149" spans="1:36" x14ac:dyDescent="0.3">
      <c r="A149" s="12" t="s">
        <v>409</v>
      </c>
      <c r="B149" s="3" t="s">
        <v>382</v>
      </c>
      <c r="C149" s="3" t="s">
        <v>275</v>
      </c>
      <c r="D149" s="3" t="s">
        <v>122</v>
      </c>
      <c r="E149" s="3">
        <v>27.07</v>
      </c>
      <c r="F149" s="3" t="s">
        <v>118</v>
      </c>
      <c r="G149" s="4">
        <v>885000</v>
      </c>
      <c r="H149" s="4">
        <v>23956950</v>
      </c>
      <c r="I149" s="4">
        <v>885000</v>
      </c>
      <c r="J149" s="4">
        <v>23956950</v>
      </c>
      <c r="K149" s="4" t="s">
        <v>10</v>
      </c>
      <c r="L149" s="4">
        <v>0</v>
      </c>
      <c r="M149" s="4" t="s">
        <v>10</v>
      </c>
      <c r="N149" s="4">
        <v>0</v>
      </c>
      <c r="O149" s="3" t="s">
        <v>123</v>
      </c>
      <c r="P149" s="11"/>
      <c r="Q149" s="11"/>
      <c r="R149" s="7"/>
      <c r="S149" s="7"/>
      <c r="T149" s="7"/>
      <c r="U149" s="7"/>
      <c r="V149" s="7"/>
      <c r="W149" s="7"/>
      <c r="X149" s="22"/>
      <c r="Y149" s="7"/>
      <c r="Z149" s="7"/>
      <c r="AA149" s="7"/>
      <c r="AB149" s="9"/>
      <c r="AC149" s="9"/>
      <c r="AD149" s="24"/>
      <c r="AE149" s="24"/>
      <c r="AF149" s="24"/>
      <c r="AG149" s="24"/>
      <c r="AH149" s="24"/>
      <c r="AI149" s="24"/>
      <c r="AJ149" s="24"/>
    </row>
    <row r="150" spans="1:36" x14ac:dyDescent="0.3">
      <c r="A150" s="12" t="s">
        <v>409</v>
      </c>
      <c r="B150" s="3" t="s">
        <v>382</v>
      </c>
      <c r="C150" s="3" t="s">
        <v>275</v>
      </c>
      <c r="D150" s="3" t="s">
        <v>124</v>
      </c>
      <c r="E150" s="3">
        <v>0.1</v>
      </c>
      <c r="F150" s="3" t="s">
        <v>118</v>
      </c>
      <c r="G150" s="4">
        <v>885000</v>
      </c>
      <c r="H150" s="4">
        <v>88500</v>
      </c>
      <c r="I150" s="4">
        <v>885000</v>
      </c>
      <c r="J150" s="4">
        <v>88500</v>
      </c>
      <c r="K150" s="4" t="s">
        <v>10</v>
      </c>
      <c r="L150" s="4">
        <v>0</v>
      </c>
      <c r="M150" s="4" t="s">
        <v>10</v>
      </c>
      <c r="N150" s="4">
        <v>0</v>
      </c>
      <c r="O150" s="3" t="s">
        <v>125</v>
      </c>
      <c r="P150" s="11"/>
      <c r="Q150" s="11"/>
      <c r="R150" s="7"/>
      <c r="S150" s="7"/>
      <c r="T150" s="7"/>
      <c r="U150" s="7"/>
      <c r="V150" s="7"/>
      <c r="W150" s="7"/>
      <c r="X150" s="22"/>
      <c r="Y150" s="7"/>
      <c r="Z150" s="7"/>
      <c r="AA150" s="7"/>
      <c r="AB150" s="9"/>
      <c r="AC150" s="9"/>
      <c r="AD150" s="24"/>
      <c r="AE150" s="24"/>
      <c r="AF150" s="24"/>
      <c r="AG150" s="24"/>
      <c r="AH150" s="24"/>
      <c r="AI150" s="24"/>
      <c r="AJ150" s="24"/>
    </row>
    <row r="151" spans="1:36" x14ac:dyDescent="0.3">
      <c r="A151" s="12" t="s">
        <v>409</v>
      </c>
      <c r="B151" s="3" t="s">
        <v>382</v>
      </c>
      <c r="C151" s="3" t="s">
        <v>276</v>
      </c>
      <c r="D151" s="3" t="s">
        <v>10</v>
      </c>
      <c r="E151" s="3">
        <v>28.45</v>
      </c>
      <c r="F151" s="3" t="s">
        <v>118</v>
      </c>
      <c r="G151" s="4">
        <v>1737</v>
      </c>
      <c r="H151" s="4">
        <v>49418</v>
      </c>
      <c r="I151" s="4" t="s">
        <v>10</v>
      </c>
      <c r="J151" s="4">
        <v>0</v>
      </c>
      <c r="K151" s="4" t="s">
        <v>10</v>
      </c>
      <c r="L151" s="4">
        <v>0</v>
      </c>
      <c r="M151" s="4">
        <v>1737</v>
      </c>
      <c r="N151" s="4">
        <v>49418</v>
      </c>
      <c r="O151" s="3" t="s">
        <v>130</v>
      </c>
      <c r="P151" s="11"/>
      <c r="Q151" s="11"/>
      <c r="R151" s="7"/>
      <c r="S151" s="7"/>
      <c r="T151" s="7"/>
      <c r="U151" s="7"/>
      <c r="V151" s="7"/>
      <c r="W151" s="7"/>
      <c r="X151" s="22"/>
      <c r="Y151" s="7"/>
      <c r="Z151" s="7"/>
      <c r="AA151" s="7"/>
      <c r="AB151" s="9"/>
      <c r="AC151" s="9"/>
      <c r="AD151" s="24"/>
      <c r="AE151" s="24"/>
      <c r="AF151" s="24"/>
      <c r="AG151" s="24"/>
      <c r="AH151" s="24"/>
      <c r="AI151" s="24"/>
      <c r="AJ151" s="24"/>
    </row>
    <row r="152" spans="1:36" x14ac:dyDescent="0.3">
      <c r="A152" s="12" t="s">
        <v>409</v>
      </c>
      <c r="B152" s="3" t="s">
        <v>383</v>
      </c>
      <c r="C152" s="3" t="s">
        <v>277</v>
      </c>
      <c r="D152" s="3" t="s">
        <v>133</v>
      </c>
      <c r="E152" s="3">
        <v>27.62</v>
      </c>
      <c r="F152" s="3" t="s">
        <v>118</v>
      </c>
      <c r="G152" s="4">
        <v>658244</v>
      </c>
      <c r="H152" s="4">
        <v>18180699</v>
      </c>
      <c r="I152" s="4">
        <v>111902</v>
      </c>
      <c r="J152" s="4">
        <v>3090733</v>
      </c>
      <c r="K152" s="4">
        <v>546342</v>
      </c>
      <c r="L152" s="4">
        <v>15089966</v>
      </c>
      <c r="M152" s="4" t="s">
        <v>10</v>
      </c>
      <c r="N152" s="4">
        <v>0</v>
      </c>
      <c r="O152" s="3" t="s">
        <v>134</v>
      </c>
      <c r="P152" s="11"/>
      <c r="Q152" s="11"/>
      <c r="R152" s="7"/>
      <c r="S152" s="7"/>
      <c r="T152" s="7"/>
      <c r="U152" s="7"/>
      <c r="V152" s="7"/>
      <c r="W152" s="7"/>
      <c r="X152" s="22"/>
      <c r="Y152" s="7"/>
      <c r="Z152" s="7"/>
      <c r="AA152" s="7"/>
      <c r="AB152" s="9"/>
      <c r="AC152" s="9"/>
      <c r="AD152" s="24"/>
      <c r="AE152" s="24"/>
      <c r="AF152" s="24"/>
      <c r="AG152" s="24"/>
      <c r="AH152" s="24"/>
      <c r="AI152" s="24"/>
      <c r="AJ152" s="24"/>
    </row>
    <row r="153" spans="1:36" x14ac:dyDescent="0.3">
      <c r="A153" s="12" t="s">
        <v>409</v>
      </c>
      <c r="B153" s="3" t="s">
        <v>382</v>
      </c>
      <c r="C153" s="3" t="s">
        <v>278</v>
      </c>
      <c r="D153" s="3" t="s">
        <v>135</v>
      </c>
      <c r="E153" s="3">
        <v>1.9</v>
      </c>
      <c r="F153" s="3" t="s">
        <v>118</v>
      </c>
      <c r="G153" s="4">
        <v>210000</v>
      </c>
      <c r="H153" s="4">
        <v>399000</v>
      </c>
      <c r="I153" s="4" t="s">
        <v>10</v>
      </c>
      <c r="J153" s="4">
        <v>0</v>
      </c>
      <c r="K153" s="4" t="s">
        <v>10</v>
      </c>
      <c r="L153" s="4">
        <v>0</v>
      </c>
      <c r="M153" s="4">
        <v>210000</v>
      </c>
      <c r="N153" s="4">
        <v>399000</v>
      </c>
      <c r="O153" s="3" t="s">
        <v>136</v>
      </c>
      <c r="P153" s="11"/>
      <c r="Q153" s="11"/>
      <c r="R153" s="7"/>
      <c r="S153" s="7"/>
      <c r="T153" s="7"/>
      <c r="U153" s="7"/>
      <c r="V153" s="7"/>
      <c r="W153" s="7"/>
      <c r="X153" s="22"/>
      <c r="Y153" s="7"/>
      <c r="Z153" s="7"/>
      <c r="AA153" s="7"/>
      <c r="AB153" s="9"/>
      <c r="AC153" s="9"/>
      <c r="AD153" s="24"/>
      <c r="AE153" s="24"/>
      <c r="AF153" s="24"/>
      <c r="AG153" s="24"/>
      <c r="AH153" s="24"/>
      <c r="AI153" s="24"/>
      <c r="AJ153" s="24"/>
    </row>
    <row r="154" spans="1:36" x14ac:dyDescent="0.3">
      <c r="A154" s="12">
        <v>5</v>
      </c>
      <c r="B154" s="3" t="s">
        <v>434</v>
      </c>
      <c r="C154" s="3" t="s">
        <v>302</v>
      </c>
      <c r="D154" s="3" t="s">
        <v>10</v>
      </c>
      <c r="E154" s="3" t="s">
        <v>10</v>
      </c>
      <c r="F154" s="3" t="s">
        <v>10</v>
      </c>
      <c r="G154" s="4" t="s">
        <v>10</v>
      </c>
      <c r="H154" s="4">
        <v>75501594</v>
      </c>
      <c r="I154" s="4" t="s">
        <v>10</v>
      </c>
      <c r="J154" s="4">
        <v>33037967</v>
      </c>
      <c r="K154" s="4" t="s">
        <v>10</v>
      </c>
      <c r="L154" s="4">
        <v>31260582</v>
      </c>
      <c r="M154" s="4" t="s">
        <v>10</v>
      </c>
      <c r="N154" s="4">
        <v>11203045</v>
      </c>
      <c r="O154" s="3" t="s">
        <v>10</v>
      </c>
      <c r="P154" s="11">
        <f>MIN(P155)</f>
        <v>46055</v>
      </c>
      <c r="Q154" s="11">
        <f>MAX(Q155)</f>
        <v>46075</v>
      </c>
      <c r="R154" s="22">
        <f t="shared" ref="R154:R155" si="3">Q154-P154</f>
        <v>20</v>
      </c>
      <c r="S154" s="7"/>
      <c r="T154" s="7"/>
      <c r="U154" s="7"/>
      <c r="V154" s="7"/>
      <c r="W154" s="7"/>
      <c r="X154" s="22"/>
      <c r="Y154" s="7"/>
      <c r="Z154" s="7"/>
      <c r="AA154" s="7"/>
      <c r="AB154" s="9"/>
      <c r="AC154" s="9"/>
      <c r="AD154" s="24"/>
      <c r="AE154" s="24"/>
      <c r="AF154" s="24"/>
      <c r="AG154" s="24"/>
      <c r="AH154" s="24"/>
      <c r="AI154" s="24"/>
      <c r="AJ154" s="24"/>
    </row>
    <row r="155" spans="1:36" x14ac:dyDescent="0.3">
      <c r="A155" s="12">
        <v>6</v>
      </c>
      <c r="B155" s="3" t="s">
        <v>435</v>
      </c>
      <c r="C155" s="3" t="s">
        <v>303</v>
      </c>
      <c r="D155" s="3" t="s">
        <v>10</v>
      </c>
      <c r="E155" s="3" t="s">
        <v>10</v>
      </c>
      <c r="F155" s="3" t="s">
        <v>10</v>
      </c>
      <c r="G155" s="4" t="s">
        <v>10</v>
      </c>
      <c r="H155" s="4">
        <v>75501594</v>
      </c>
      <c r="I155" s="4" t="s">
        <v>10</v>
      </c>
      <c r="J155" s="4">
        <v>33037967</v>
      </c>
      <c r="K155" s="4" t="s">
        <v>10</v>
      </c>
      <c r="L155" s="4">
        <v>31260582</v>
      </c>
      <c r="M155" s="4" t="s">
        <v>10</v>
      </c>
      <c r="N155" s="4">
        <v>11203045</v>
      </c>
      <c r="O155" s="3" t="s">
        <v>10</v>
      </c>
      <c r="P155" s="11">
        <f>MIN(P156:P176)</f>
        <v>46055</v>
      </c>
      <c r="Q155" s="11">
        <f>MAX(Q156:Q176)</f>
        <v>46075</v>
      </c>
      <c r="R155" s="22">
        <f t="shared" si="3"/>
        <v>20</v>
      </c>
      <c r="S155" s="7"/>
      <c r="T155" s="7"/>
      <c r="U155" s="7"/>
      <c r="V155" s="7"/>
      <c r="W155" s="7"/>
      <c r="X155" s="22"/>
      <c r="Y155" s="7"/>
      <c r="Z155" s="7"/>
      <c r="AA155" s="7"/>
      <c r="AB155" s="9"/>
      <c r="AC155" s="9"/>
      <c r="AD155" s="24"/>
      <c r="AE155" s="24"/>
      <c r="AF155" s="24"/>
      <c r="AG155" s="24"/>
      <c r="AH155" s="24"/>
      <c r="AI155" s="24"/>
      <c r="AJ155" s="24"/>
    </row>
    <row r="156" spans="1:36" x14ac:dyDescent="0.3">
      <c r="A156" s="12">
        <v>7</v>
      </c>
      <c r="B156" s="3" t="s">
        <v>436</v>
      </c>
      <c r="C156" s="3" t="s">
        <v>304</v>
      </c>
      <c r="D156" s="3" t="s">
        <v>10</v>
      </c>
      <c r="E156" s="3" t="s">
        <v>10</v>
      </c>
      <c r="F156" s="3" t="s">
        <v>10</v>
      </c>
      <c r="G156" s="4" t="s">
        <v>10</v>
      </c>
      <c r="H156" s="4">
        <v>41734456</v>
      </c>
      <c r="I156" s="4" t="s">
        <v>10</v>
      </c>
      <c r="J156" s="4">
        <v>21958858</v>
      </c>
      <c r="K156" s="4" t="s">
        <v>10</v>
      </c>
      <c r="L156" s="4">
        <v>18297463</v>
      </c>
      <c r="M156" s="4" t="s">
        <v>10</v>
      </c>
      <c r="N156" s="4">
        <v>1478135</v>
      </c>
      <c r="O156" s="3" t="s">
        <v>10</v>
      </c>
      <c r="P156" s="11">
        <v>46055</v>
      </c>
      <c r="Q156" s="11">
        <v>46060</v>
      </c>
      <c r="R156" s="22">
        <v>5</v>
      </c>
      <c r="S156" s="7"/>
      <c r="T156" s="7"/>
      <c r="U156" s="7"/>
      <c r="V156" s="20" t="s">
        <v>347</v>
      </c>
      <c r="W156" s="20" t="s">
        <v>416</v>
      </c>
      <c r="X156" s="22" t="s">
        <v>414</v>
      </c>
      <c r="Y156" s="19"/>
      <c r="Z156" s="7"/>
      <c r="AA156" s="7"/>
      <c r="AB156" s="9"/>
      <c r="AC156" s="9"/>
      <c r="AD156" s="24"/>
      <c r="AE156" s="24"/>
      <c r="AF156" s="24"/>
      <c r="AG156" s="24"/>
      <c r="AH156" s="24"/>
      <c r="AI156" s="24"/>
      <c r="AJ156" s="24"/>
    </row>
    <row r="157" spans="1:36" x14ac:dyDescent="0.3">
      <c r="A157" s="12" t="s">
        <v>409</v>
      </c>
      <c r="B157" s="3" t="s">
        <v>384</v>
      </c>
      <c r="C157" s="3" t="s">
        <v>305</v>
      </c>
      <c r="D157" s="3" t="s">
        <v>177</v>
      </c>
      <c r="E157" s="3">
        <v>14</v>
      </c>
      <c r="F157" s="3" t="s">
        <v>178</v>
      </c>
      <c r="G157" s="4">
        <v>75600</v>
      </c>
      <c r="H157" s="4">
        <v>1058400</v>
      </c>
      <c r="I157" s="4">
        <v>75600</v>
      </c>
      <c r="J157" s="4">
        <v>1058400</v>
      </c>
      <c r="K157" s="4" t="s">
        <v>10</v>
      </c>
      <c r="L157" s="4">
        <v>0</v>
      </c>
      <c r="M157" s="4" t="s">
        <v>10</v>
      </c>
      <c r="N157" s="4">
        <v>0</v>
      </c>
      <c r="O157" s="3" t="s">
        <v>179</v>
      </c>
      <c r="P157" s="11"/>
      <c r="Q157" s="11"/>
      <c r="R157" s="7"/>
      <c r="S157" s="7"/>
      <c r="T157" s="7"/>
      <c r="U157" s="7"/>
      <c r="V157" s="7"/>
      <c r="W157" s="7"/>
      <c r="X157" s="22"/>
      <c r="Y157" s="7"/>
      <c r="Z157" s="7"/>
      <c r="AA157" s="7"/>
      <c r="AB157" s="9"/>
      <c r="AC157" s="9"/>
      <c r="AD157" s="24"/>
      <c r="AE157" s="24"/>
      <c r="AF157" s="24"/>
      <c r="AG157" s="24"/>
      <c r="AH157" s="24"/>
      <c r="AI157" s="24"/>
      <c r="AJ157" s="24"/>
    </row>
    <row r="158" spans="1:36" x14ac:dyDescent="0.3">
      <c r="A158" s="12" t="s">
        <v>409</v>
      </c>
      <c r="B158" s="3" t="s">
        <v>384</v>
      </c>
      <c r="C158" s="3" t="s">
        <v>305</v>
      </c>
      <c r="D158" s="3" t="s">
        <v>180</v>
      </c>
      <c r="E158" s="3">
        <v>8</v>
      </c>
      <c r="F158" s="3" t="s">
        <v>178</v>
      </c>
      <c r="G158" s="4">
        <v>119700</v>
      </c>
      <c r="H158" s="4">
        <v>957600</v>
      </c>
      <c r="I158" s="4">
        <v>119700</v>
      </c>
      <c r="J158" s="4">
        <v>957600</v>
      </c>
      <c r="K158" s="4" t="s">
        <v>10</v>
      </c>
      <c r="L158" s="4">
        <v>0</v>
      </c>
      <c r="M158" s="4" t="s">
        <v>10</v>
      </c>
      <c r="N158" s="4">
        <v>0</v>
      </c>
      <c r="O158" s="3" t="s">
        <v>181</v>
      </c>
      <c r="P158" s="11"/>
      <c r="Q158" s="11"/>
      <c r="R158" s="7"/>
      <c r="S158" s="7"/>
      <c r="T158" s="7"/>
      <c r="U158" s="7"/>
      <c r="V158" s="7"/>
      <c r="W158" s="7"/>
      <c r="X158" s="22"/>
      <c r="Y158" s="7"/>
      <c r="Z158" s="7"/>
      <c r="AA158" s="7"/>
      <c r="AB158" s="9"/>
      <c r="AC158" s="9"/>
      <c r="AD158" s="24"/>
      <c r="AE158" s="24"/>
      <c r="AF158" s="24"/>
      <c r="AG158" s="24"/>
      <c r="AH158" s="24"/>
      <c r="AI158" s="24"/>
      <c r="AJ158" s="24"/>
    </row>
    <row r="159" spans="1:36" x14ac:dyDescent="0.3">
      <c r="A159" s="12" t="s">
        <v>409</v>
      </c>
      <c r="B159" s="3" t="s">
        <v>384</v>
      </c>
      <c r="C159" s="3" t="s">
        <v>306</v>
      </c>
      <c r="D159" s="3" t="s">
        <v>177</v>
      </c>
      <c r="E159" s="3">
        <v>2</v>
      </c>
      <c r="F159" s="3" t="s">
        <v>36</v>
      </c>
      <c r="G159" s="4">
        <v>52500</v>
      </c>
      <c r="H159" s="4">
        <v>105000</v>
      </c>
      <c r="I159" s="4">
        <v>52500</v>
      </c>
      <c r="J159" s="4">
        <v>105000</v>
      </c>
      <c r="K159" s="4" t="s">
        <v>10</v>
      </c>
      <c r="L159" s="4">
        <v>0</v>
      </c>
      <c r="M159" s="4" t="s">
        <v>10</v>
      </c>
      <c r="N159" s="4">
        <v>0</v>
      </c>
      <c r="O159" s="3" t="s">
        <v>182</v>
      </c>
      <c r="P159" s="11"/>
      <c r="Q159" s="11"/>
      <c r="R159" s="7"/>
      <c r="S159" s="7"/>
      <c r="T159" s="7"/>
      <c r="U159" s="7"/>
      <c r="V159" s="7"/>
      <c r="W159" s="7"/>
      <c r="X159" s="22"/>
      <c r="Y159" s="7"/>
      <c r="Z159" s="7"/>
      <c r="AA159" s="7"/>
      <c r="AB159" s="9"/>
      <c r="AC159" s="9"/>
      <c r="AD159" s="24"/>
      <c r="AE159" s="24"/>
      <c r="AF159" s="24"/>
      <c r="AG159" s="24"/>
      <c r="AH159" s="24"/>
      <c r="AI159" s="24"/>
      <c r="AJ159" s="24"/>
    </row>
    <row r="160" spans="1:36" x14ac:dyDescent="0.3">
      <c r="A160" s="12" t="s">
        <v>409</v>
      </c>
      <c r="B160" s="3" t="s">
        <v>384</v>
      </c>
      <c r="C160" s="3" t="s">
        <v>306</v>
      </c>
      <c r="D160" s="3" t="s">
        <v>180</v>
      </c>
      <c r="E160" s="3">
        <v>6</v>
      </c>
      <c r="F160" s="3" t="s">
        <v>178</v>
      </c>
      <c r="G160" s="4">
        <v>103950</v>
      </c>
      <c r="H160" s="4">
        <v>623700</v>
      </c>
      <c r="I160" s="4">
        <v>103950</v>
      </c>
      <c r="J160" s="4">
        <v>623700</v>
      </c>
      <c r="K160" s="4" t="s">
        <v>10</v>
      </c>
      <c r="L160" s="4">
        <v>0</v>
      </c>
      <c r="M160" s="4" t="s">
        <v>10</v>
      </c>
      <c r="N160" s="4">
        <v>0</v>
      </c>
      <c r="O160" s="3" t="s">
        <v>183</v>
      </c>
      <c r="P160" s="11"/>
      <c r="Q160" s="11"/>
      <c r="R160" s="7"/>
      <c r="S160" s="7"/>
      <c r="T160" s="7"/>
      <c r="U160" s="7"/>
      <c r="V160" s="7"/>
      <c r="W160" s="7"/>
      <c r="X160" s="22"/>
      <c r="Y160" s="7"/>
      <c r="Z160" s="7"/>
      <c r="AA160" s="7"/>
      <c r="AB160" s="9"/>
      <c r="AC160" s="9"/>
      <c r="AD160" s="24"/>
      <c r="AE160" s="24"/>
      <c r="AF160" s="24"/>
      <c r="AG160" s="24"/>
      <c r="AH160" s="24"/>
      <c r="AI160" s="24"/>
      <c r="AJ160" s="24"/>
    </row>
    <row r="161" spans="1:36" x14ac:dyDescent="0.3">
      <c r="A161" s="12" t="s">
        <v>409</v>
      </c>
      <c r="B161" s="3" t="s">
        <v>384</v>
      </c>
      <c r="C161" s="3" t="s">
        <v>307</v>
      </c>
      <c r="D161" s="3" t="s">
        <v>184</v>
      </c>
      <c r="E161" s="3">
        <v>6</v>
      </c>
      <c r="F161" s="3" t="s">
        <v>178</v>
      </c>
      <c r="G161" s="4">
        <v>25200</v>
      </c>
      <c r="H161" s="4">
        <v>151200</v>
      </c>
      <c r="I161" s="4">
        <v>25200</v>
      </c>
      <c r="J161" s="4">
        <v>151200</v>
      </c>
      <c r="K161" s="4" t="s">
        <v>10</v>
      </c>
      <c r="L161" s="4">
        <v>0</v>
      </c>
      <c r="M161" s="4" t="s">
        <v>10</v>
      </c>
      <c r="N161" s="4">
        <v>0</v>
      </c>
      <c r="O161" s="3" t="s">
        <v>185</v>
      </c>
      <c r="P161" s="11"/>
      <c r="Q161" s="11"/>
      <c r="R161" s="7"/>
      <c r="S161" s="7"/>
      <c r="T161" s="7"/>
      <c r="U161" s="7"/>
      <c r="V161" s="7"/>
      <c r="W161" s="7"/>
      <c r="X161" s="22"/>
      <c r="Y161" s="7"/>
      <c r="Z161" s="7"/>
      <c r="AA161" s="7"/>
      <c r="AB161" s="9"/>
      <c r="AC161" s="9"/>
      <c r="AD161" s="24"/>
      <c r="AE161" s="24"/>
      <c r="AF161" s="24"/>
      <c r="AG161" s="24"/>
      <c r="AH161" s="24"/>
      <c r="AI161" s="24"/>
      <c r="AJ161" s="24"/>
    </row>
    <row r="162" spans="1:36" x14ac:dyDescent="0.3">
      <c r="A162" s="12" t="s">
        <v>409</v>
      </c>
      <c r="B162" s="3" t="s">
        <v>384</v>
      </c>
      <c r="C162" s="3" t="s">
        <v>307</v>
      </c>
      <c r="D162" s="3" t="s">
        <v>186</v>
      </c>
      <c r="E162" s="3">
        <v>24</v>
      </c>
      <c r="F162" s="3" t="s">
        <v>178</v>
      </c>
      <c r="G162" s="4">
        <v>44100</v>
      </c>
      <c r="H162" s="4">
        <v>1058400</v>
      </c>
      <c r="I162" s="4">
        <v>44100</v>
      </c>
      <c r="J162" s="4">
        <v>1058400</v>
      </c>
      <c r="K162" s="4" t="s">
        <v>10</v>
      </c>
      <c r="L162" s="4">
        <v>0</v>
      </c>
      <c r="M162" s="4" t="s">
        <v>10</v>
      </c>
      <c r="N162" s="4">
        <v>0</v>
      </c>
      <c r="O162" s="3" t="s">
        <v>187</v>
      </c>
      <c r="P162" s="11"/>
      <c r="Q162" s="11"/>
      <c r="R162" s="7"/>
      <c r="S162" s="7"/>
      <c r="T162" s="7"/>
      <c r="U162" s="7"/>
      <c r="V162" s="7"/>
      <c r="W162" s="7"/>
      <c r="X162" s="22"/>
      <c r="Y162" s="7"/>
      <c r="Z162" s="7"/>
      <c r="AA162" s="7"/>
      <c r="AB162" s="9"/>
      <c r="AC162" s="9"/>
      <c r="AD162" s="24"/>
      <c r="AE162" s="24"/>
      <c r="AF162" s="24"/>
      <c r="AG162" s="24"/>
      <c r="AH162" s="24"/>
      <c r="AI162" s="24"/>
      <c r="AJ162" s="24"/>
    </row>
    <row r="163" spans="1:36" x14ac:dyDescent="0.3">
      <c r="A163" s="12" t="s">
        <v>409</v>
      </c>
      <c r="B163" s="3" t="s">
        <v>384</v>
      </c>
      <c r="C163" s="3" t="s">
        <v>308</v>
      </c>
      <c r="D163" s="3" t="s">
        <v>177</v>
      </c>
      <c r="E163" s="3">
        <v>54</v>
      </c>
      <c r="F163" s="3" t="s">
        <v>178</v>
      </c>
      <c r="G163" s="4">
        <v>50400</v>
      </c>
      <c r="H163" s="4">
        <v>2721600</v>
      </c>
      <c r="I163" s="4">
        <v>50400</v>
      </c>
      <c r="J163" s="4">
        <v>2721600</v>
      </c>
      <c r="K163" s="4" t="s">
        <v>10</v>
      </c>
      <c r="L163" s="4">
        <v>0</v>
      </c>
      <c r="M163" s="4" t="s">
        <v>10</v>
      </c>
      <c r="N163" s="4">
        <v>0</v>
      </c>
      <c r="O163" s="3" t="s">
        <v>188</v>
      </c>
      <c r="P163" s="11"/>
      <c r="Q163" s="11"/>
      <c r="R163" s="7"/>
      <c r="S163" s="7"/>
      <c r="T163" s="7"/>
      <c r="U163" s="7"/>
      <c r="V163" s="7"/>
      <c r="W163" s="7"/>
      <c r="X163" s="22"/>
      <c r="Y163" s="7"/>
      <c r="Z163" s="7"/>
      <c r="AA163" s="7"/>
      <c r="AB163" s="9"/>
      <c r="AC163" s="9"/>
      <c r="AD163" s="24"/>
      <c r="AE163" s="24"/>
      <c r="AF163" s="24"/>
      <c r="AG163" s="24"/>
      <c r="AH163" s="24"/>
      <c r="AI163" s="24"/>
      <c r="AJ163" s="24"/>
    </row>
    <row r="164" spans="1:36" x14ac:dyDescent="0.3">
      <c r="A164" s="12" t="s">
        <v>409</v>
      </c>
      <c r="B164" s="3" t="s">
        <v>384</v>
      </c>
      <c r="C164" s="3" t="s">
        <v>308</v>
      </c>
      <c r="D164" s="3" t="s">
        <v>180</v>
      </c>
      <c r="E164" s="3">
        <v>26</v>
      </c>
      <c r="F164" s="3" t="s">
        <v>178</v>
      </c>
      <c r="G164" s="4">
        <v>78750</v>
      </c>
      <c r="H164" s="4">
        <v>2047500</v>
      </c>
      <c r="I164" s="4">
        <v>78750</v>
      </c>
      <c r="J164" s="4">
        <v>2047500</v>
      </c>
      <c r="K164" s="4" t="s">
        <v>10</v>
      </c>
      <c r="L164" s="4">
        <v>0</v>
      </c>
      <c r="M164" s="4" t="s">
        <v>10</v>
      </c>
      <c r="N164" s="4">
        <v>0</v>
      </c>
      <c r="O164" s="3" t="s">
        <v>189</v>
      </c>
      <c r="P164" s="11"/>
      <c r="Q164" s="11"/>
      <c r="R164" s="7"/>
      <c r="S164" s="7"/>
      <c r="T164" s="7"/>
      <c r="U164" s="7"/>
      <c r="V164" s="7"/>
      <c r="W164" s="7"/>
      <c r="X164" s="22"/>
      <c r="Y164" s="7"/>
      <c r="Z164" s="7"/>
      <c r="AA164" s="7"/>
      <c r="AB164" s="9"/>
      <c r="AC164" s="9"/>
      <c r="AD164" s="24"/>
      <c r="AE164" s="24"/>
      <c r="AF164" s="24"/>
      <c r="AG164" s="24"/>
      <c r="AH164" s="24"/>
      <c r="AI164" s="24"/>
      <c r="AJ164" s="24"/>
    </row>
    <row r="165" spans="1:36" x14ac:dyDescent="0.3">
      <c r="A165" s="12" t="s">
        <v>409</v>
      </c>
      <c r="B165" s="3" t="s">
        <v>384</v>
      </c>
      <c r="C165" s="3" t="s">
        <v>309</v>
      </c>
      <c r="D165" s="3" t="s">
        <v>190</v>
      </c>
      <c r="E165" s="3">
        <v>70</v>
      </c>
      <c r="F165" s="3" t="s">
        <v>178</v>
      </c>
      <c r="G165" s="4">
        <v>16171</v>
      </c>
      <c r="H165" s="4">
        <v>1131970</v>
      </c>
      <c r="I165" s="4">
        <v>8888</v>
      </c>
      <c r="J165" s="4">
        <v>622160</v>
      </c>
      <c r="K165" s="4">
        <v>7283</v>
      </c>
      <c r="L165" s="4">
        <v>509810</v>
      </c>
      <c r="M165" s="4" t="s">
        <v>10</v>
      </c>
      <c r="N165" s="4">
        <v>0</v>
      </c>
      <c r="O165" s="3" t="s">
        <v>191</v>
      </c>
      <c r="P165" s="11"/>
      <c r="Q165" s="11"/>
      <c r="R165" s="7"/>
      <c r="S165" s="7"/>
      <c r="T165" s="7"/>
      <c r="U165" s="7"/>
      <c r="V165" s="7"/>
      <c r="W165" s="7"/>
      <c r="X165" s="22"/>
      <c r="Y165" s="7"/>
      <c r="Z165" s="7"/>
      <c r="AA165" s="7"/>
      <c r="AB165" s="9"/>
      <c r="AC165" s="9"/>
      <c r="AD165" s="24"/>
      <c r="AE165" s="24"/>
      <c r="AF165" s="24"/>
      <c r="AG165" s="24"/>
      <c r="AH165" s="24"/>
      <c r="AI165" s="24"/>
      <c r="AJ165" s="24"/>
    </row>
    <row r="166" spans="1:36" x14ac:dyDescent="0.3">
      <c r="A166" s="12" t="s">
        <v>409</v>
      </c>
      <c r="B166" s="3" t="s">
        <v>384</v>
      </c>
      <c r="C166" s="3" t="s">
        <v>310</v>
      </c>
      <c r="D166" s="3" t="s">
        <v>177</v>
      </c>
      <c r="E166" s="3">
        <v>66</v>
      </c>
      <c r="F166" s="3" t="s">
        <v>178</v>
      </c>
      <c r="G166" s="4">
        <v>197730</v>
      </c>
      <c r="H166" s="4">
        <v>13050180</v>
      </c>
      <c r="I166" s="4">
        <v>48598</v>
      </c>
      <c r="J166" s="4">
        <v>3207468</v>
      </c>
      <c r="K166" s="4">
        <v>134497</v>
      </c>
      <c r="L166" s="4">
        <v>8876802</v>
      </c>
      <c r="M166" s="4">
        <v>14635</v>
      </c>
      <c r="N166" s="4">
        <v>965910</v>
      </c>
      <c r="O166" s="3" t="s">
        <v>192</v>
      </c>
      <c r="P166" s="11"/>
      <c r="Q166" s="11"/>
      <c r="R166" s="7"/>
      <c r="S166" s="7"/>
      <c r="T166" s="7"/>
      <c r="U166" s="7"/>
      <c r="V166" s="7"/>
      <c r="W166" s="7"/>
      <c r="X166" s="22"/>
      <c r="Y166" s="7"/>
      <c r="Z166" s="7"/>
      <c r="AA166" s="7"/>
      <c r="AB166" s="9"/>
      <c r="AC166" s="9"/>
      <c r="AD166" s="24"/>
      <c r="AE166" s="24"/>
      <c r="AF166" s="24"/>
      <c r="AG166" s="24"/>
      <c r="AH166" s="24"/>
      <c r="AI166" s="24"/>
      <c r="AJ166" s="24"/>
    </row>
    <row r="167" spans="1:36" x14ac:dyDescent="0.3">
      <c r="A167" s="12" t="s">
        <v>409</v>
      </c>
      <c r="B167" s="3" t="s">
        <v>384</v>
      </c>
      <c r="C167" s="3" t="s">
        <v>310</v>
      </c>
      <c r="D167" s="3" t="s">
        <v>180</v>
      </c>
      <c r="E167" s="3">
        <v>35</v>
      </c>
      <c r="F167" s="3" t="s">
        <v>36</v>
      </c>
      <c r="G167" s="4">
        <v>229230</v>
      </c>
      <c r="H167" s="4">
        <v>8023050</v>
      </c>
      <c r="I167" s="4">
        <v>80098</v>
      </c>
      <c r="J167" s="4">
        <v>2803430</v>
      </c>
      <c r="K167" s="4">
        <v>134497</v>
      </c>
      <c r="L167" s="4">
        <v>4707395</v>
      </c>
      <c r="M167" s="4">
        <v>14635</v>
      </c>
      <c r="N167" s="4">
        <v>512225</v>
      </c>
      <c r="O167" s="3" t="s">
        <v>193</v>
      </c>
      <c r="P167" s="11"/>
      <c r="Q167" s="11"/>
      <c r="R167" s="7"/>
      <c r="S167" s="7"/>
      <c r="T167" s="7"/>
      <c r="U167" s="7"/>
      <c r="V167" s="7"/>
      <c r="W167" s="7"/>
      <c r="X167" s="22"/>
      <c r="Y167" s="7"/>
      <c r="Z167" s="7"/>
      <c r="AA167" s="7"/>
      <c r="AB167" s="9"/>
      <c r="AC167" s="9"/>
      <c r="AD167" s="24"/>
      <c r="AE167" s="24"/>
      <c r="AF167" s="24"/>
      <c r="AG167" s="24"/>
      <c r="AH167" s="24"/>
      <c r="AI167" s="24"/>
      <c r="AJ167" s="24"/>
    </row>
    <row r="168" spans="1:36" x14ac:dyDescent="0.3">
      <c r="A168" s="12" t="s">
        <v>409</v>
      </c>
      <c r="B168" s="3" t="s">
        <v>384</v>
      </c>
      <c r="C168" s="3" t="s">
        <v>311</v>
      </c>
      <c r="D168" s="3" t="s">
        <v>194</v>
      </c>
      <c r="E168" s="3">
        <v>24</v>
      </c>
      <c r="F168" s="3" t="s">
        <v>30</v>
      </c>
      <c r="G168" s="4">
        <v>450244</v>
      </c>
      <c r="H168" s="4">
        <v>10805856</v>
      </c>
      <c r="I168" s="4">
        <v>275100</v>
      </c>
      <c r="J168" s="4">
        <v>6602400</v>
      </c>
      <c r="K168" s="4">
        <v>175144</v>
      </c>
      <c r="L168" s="4">
        <v>4203456</v>
      </c>
      <c r="M168" s="4" t="s">
        <v>10</v>
      </c>
      <c r="N168" s="4">
        <v>0</v>
      </c>
      <c r="O168" s="3" t="s">
        <v>195</v>
      </c>
      <c r="P168" s="11"/>
      <c r="Q168" s="11"/>
      <c r="R168" s="7"/>
      <c r="S168" s="7"/>
      <c r="T168" s="7"/>
      <c r="U168" s="7"/>
      <c r="V168" s="7"/>
      <c r="W168" s="7"/>
      <c r="X168" s="22"/>
      <c r="Y168" s="7"/>
      <c r="Z168" s="7"/>
      <c r="AA168" s="7"/>
      <c r="AB168" s="9"/>
      <c r="AC168" s="9"/>
      <c r="AD168" s="24"/>
      <c r="AE168" s="24"/>
      <c r="AF168" s="24"/>
      <c r="AG168" s="24"/>
      <c r="AH168" s="24"/>
      <c r="AI168" s="24"/>
      <c r="AJ168" s="24"/>
    </row>
    <row r="169" spans="1:36" x14ac:dyDescent="0.3">
      <c r="A169" s="12">
        <v>7</v>
      </c>
      <c r="B169" s="3" t="s">
        <v>348</v>
      </c>
      <c r="C169" s="3" t="s">
        <v>312</v>
      </c>
      <c r="D169" s="3" t="s">
        <v>10</v>
      </c>
      <c r="E169" s="3" t="s">
        <v>10</v>
      </c>
      <c r="F169" s="3" t="s">
        <v>10</v>
      </c>
      <c r="G169" s="4" t="s">
        <v>10</v>
      </c>
      <c r="H169" s="4">
        <v>7286964</v>
      </c>
      <c r="I169" s="4" t="s">
        <v>10</v>
      </c>
      <c r="J169" s="4">
        <v>3850000</v>
      </c>
      <c r="K169" s="4" t="s">
        <v>10</v>
      </c>
      <c r="L169" s="4">
        <v>2576964</v>
      </c>
      <c r="M169" s="4" t="s">
        <v>10</v>
      </c>
      <c r="N169" s="4">
        <v>860000</v>
      </c>
      <c r="O169" s="3" t="s">
        <v>10</v>
      </c>
      <c r="P169" s="11">
        <v>46060</v>
      </c>
      <c r="Q169" s="11">
        <v>46066</v>
      </c>
      <c r="R169" s="22">
        <v>6</v>
      </c>
      <c r="S169" s="7"/>
      <c r="T169" s="7"/>
      <c r="U169" s="7"/>
      <c r="V169" s="20" t="s">
        <v>423</v>
      </c>
      <c r="W169" s="20" t="s">
        <v>418</v>
      </c>
      <c r="X169" s="22" t="s">
        <v>412</v>
      </c>
      <c r="Y169" s="19"/>
      <c r="Z169" s="7"/>
      <c r="AA169" s="7"/>
      <c r="AB169" s="9"/>
      <c r="AC169" s="9"/>
      <c r="AD169" s="24"/>
      <c r="AE169" s="24"/>
      <c r="AF169" s="24"/>
      <c r="AG169" s="24"/>
      <c r="AH169" s="24"/>
      <c r="AI169" s="24"/>
      <c r="AJ169" s="24"/>
    </row>
    <row r="170" spans="1:36" x14ac:dyDescent="0.3">
      <c r="A170" s="12" t="s">
        <v>409</v>
      </c>
      <c r="B170" s="3" t="s">
        <v>385</v>
      </c>
      <c r="C170" s="3" t="s">
        <v>313</v>
      </c>
      <c r="D170" s="3" t="s">
        <v>196</v>
      </c>
      <c r="E170" s="3">
        <v>2</v>
      </c>
      <c r="F170" s="3" t="s">
        <v>69</v>
      </c>
      <c r="G170" s="4">
        <v>3643482</v>
      </c>
      <c r="H170" s="4">
        <v>7286964</v>
      </c>
      <c r="I170" s="4">
        <v>1925000</v>
      </c>
      <c r="J170" s="4">
        <v>3850000</v>
      </c>
      <c r="K170" s="4">
        <v>1288482</v>
      </c>
      <c r="L170" s="4">
        <v>2576964</v>
      </c>
      <c r="M170" s="4">
        <v>430000</v>
      </c>
      <c r="N170" s="4">
        <v>860000</v>
      </c>
      <c r="O170" s="3" t="s">
        <v>197</v>
      </c>
      <c r="P170" s="11"/>
      <c r="Q170" s="11"/>
      <c r="R170" s="7"/>
      <c r="S170" s="7"/>
      <c r="T170" s="7"/>
      <c r="U170" s="7"/>
      <c r="V170" s="7"/>
      <c r="W170" s="7"/>
      <c r="X170" s="22"/>
      <c r="Y170" s="7"/>
      <c r="Z170" s="7"/>
      <c r="AA170" s="7"/>
      <c r="AB170" s="9"/>
      <c r="AC170" s="9"/>
      <c r="AD170" s="24"/>
      <c r="AE170" s="24"/>
      <c r="AF170" s="24"/>
      <c r="AG170" s="24"/>
      <c r="AH170" s="24"/>
      <c r="AI170" s="24"/>
      <c r="AJ170" s="24"/>
    </row>
    <row r="171" spans="1:36" x14ac:dyDescent="0.3">
      <c r="A171" s="12">
        <v>7</v>
      </c>
      <c r="B171" s="3" t="s">
        <v>411</v>
      </c>
      <c r="C171" s="3" t="s">
        <v>314</v>
      </c>
      <c r="D171" s="3" t="s">
        <v>10</v>
      </c>
      <c r="E171" s="3" t="s">
        <v>10</v>
      </c>
      <c r="F171" s="3" t="s">
        <v>10</v>
      </c>
      <c r="G171" s="4" t="s">
        <v>10</v>
      </c>
      <c r="H171" s="4">
        <v>130852</v>
      </c>
      <c r="I171" s="4" t="s">
        <v>10</v>
      </c>
      <c r="J171" s="4">
        <v>110000</v>
      </c>
      <c r="K171" s="4" t="s">
        <v>10</v>
      </c>
      <c r="L171" s="4">
        <v>20852</v>
      </c>
      <c r="M171" s="4" t="s">
        <v>10</v>
      </c>
      <c r="N171" s="4">
        <v>0</v>
      </c>
      <c r="O171" s="3" t="s">
        <v>10</v>
      </c>
      <c r="P171" s="11">
        <v>46066</v>
      </c>
      <c r="Q171" s="11">
        <v>46069</v>
      </c>
      <c r="R171" s="22">
        <v>3</v>
      </c>
      <c r="S171" s="7"/>
      <c r="T171" s="7"/>
      <c r="U171" s="7"/>
      <c r="V171" s="20" t="s">
        <v>348</v>
      </c>
      <c r="W171" s="20" t="s">
        <v>354</v>
      </c>
      <c r="X171" s="22" t="s">
        <v>414</v>
      </c>
      <c r="Y171" s="19"/>
      <c r="Z171" s="7"/>
      <c r="AA171" s="7"/>
      <c r="AB171" s="9"/>
      <c r="AC171" s="9"/>
      <c r="AD171" s="24"/>
      <c r="AE171" s="24"/>
      <c r="AF171" s="24"/>
      <c r="AG171" s="24"/>
      <c r="AH171" s="24"/>
      <c r="AI171" s="24"/>
      <c r="AJ171" s="24"/>
    </row>
    <row r="172" spans="1:36" x14ac:dyDescent="0.3">
      <c r="A172" s="12" t="s">
        <v>409</v>
      </c>
      <c r="B172" s="3" t="s">
        <v>386</v>
      </c>
      <c r="C172" s="3" t="s">
        <v>315</v>
      </c>
      <c r="D172" s="3" t="s">
        <v>198</v>
      </c>
      <c r="E172" s="3">
        <v>1</v>
      </c>
      <c r="F172" s="3" t="s">
        <v>199</v>
      </c>
      <c r="G172" s="4">
        <v>130852</v>
      </c>
      <c r="H172" s="4">
        <v>130852</v>
      </c>
      <c r="I172" s="4">
        <v>110000</v>
      </c>
      <c r="J172" s="4">
        <v>110000</v>
      </c>
      <c r="K172" s="4">
        <v>20852</v>
      </c>
      <c r="L172" s="4">
        <v>20852</v>
      </c>
      <c r="M172" s="4" t="s">
        <v>10</v>
      </c>
      <c r="N172" s="4">
        <v>0</v>
      </c>
      <c r="O172" s="3" t="s">
        <v>200</v>
      </c>
      <c r="P172" s="11"/>
      <c r="Q172" s="11"/>
      <c r="R172" s="7"/>
      <c r="S172" s="7"/>
      <c r="T172" s="7"/>
      <c r="U172" s="7"/>
      <c r="V172" s="7"/>
      <c r="W172" s="7"/>
      <c r="X172" s="22"/>
      <c r="Y172" s="7"/>
      <c r="Z172" s="7"/>
      <c r="AA172" s="7"/>
      <c r="AB172" s="9"/>
      <c r="AC172" s="9"/>
      <c r="AD172" s="24"/>
      <c r="AE172" s="24"/>
      <c r="AF172" s="24"/>
      <c r="AG172" s="24"/>
      <c r="AH172" s="24"/>
      <c r="AI172" s="24"/>
      <c r="AJ172" s="24"/>
    </row>
    <row r="173" spans="1:36" x14ac:dyDescent="0.3">
      <c r="A173" s="12">
        <v>7</v>
      </c>
      <c r="B173" s="3" t="s">
        <v>349</v>
      </c>
      <c r="C173" s="3" t="s">
        <v>316</v>
      </c>
      <c r="D173" s="3" t="s">
        <v>10</v>
      </c>
      <c r="E173" s="3" t="s">
        <v>10</v>
      </c>
      <c r="F173" s="3" t="s">
        <v>10</v>
      </c>
      <c r="G173" s="4" t="s">
        <v>10</v>
      </c>
      <c r="H173" s="4">
        <v>3364260</v>
      </c>
      <c r="I173" s="4" t="s">
        <v>10</v>
      </c>
      <c r="J173" s="4">
        <v>510248</v>
      </c>
      <c r="K173" s="4" t="s">
        <v>10</v>
      </c>
      <c r="L173" s="4">
        <v>2470656</v>
      </c>
      <c r="M173" s="4" t="s">
        <v>10</v>
      </c>
      <c r="N173" s="4">
        <v>383356</v>
      </c>
      <c r="O173" s="3" t="s">
        <v>10</v>
      </c>
      <c r="P173" s="11">
        <v>46069</v>
      </c>
      <c r="Q173" s="11">
        <v>46073</v>
      </c>
      <c r="R173" s="22">
        <v>4</v>
      </c>
      <c r="S173" s="7"/>
      <c r="T173" s="7"/>
      <c r="U173" s="7"/>
      <c r="V173" s="20" t="s">
        <v>411</v>
      </c>
      <c r="W173" s="20" t="s">
        <v>354</v>
      </c>
      <c r="X173" s="22" t="s">
        <v>414</v>
      </c>
      <c r="Y173" s="19"/>
      <c r="Z173" s="7"/>
      <c r="AA173" s="7"/>
      <c r="AB173" s="9"/>
      <c r="AC173" s="9"/>
      <c r="AD173" s="24"/>
      <c r="AE173" s="24"/>
      <c r="AF173" s="24"/>
      <c r="AG173" s="24"/>
      <c r="AH173" s="24"/>
      <c r="AI173" s="24"/>
      <c r="AJ173" s="24"/>
    </row>
    <row r="174" spans="1:36" x14ac:dyDescent="0.3">
      <c r="A174" s="12" t="s">
        <v>409</v>
      </c>
      <c r="B174" s="3" t="s">
        <v>387</v>
      </c>
      <c r="C174" s="3" t="s">
        <v>317</v>
      </c>
      <c r="D174" s="3" t="s">
        <v>201</v>
      </c>
      <c r="E174" s="3">
        <v>296</v>
      </c>
      <c r="F174" s="3" t="s">
        <v>202</v>
      </c>
      <c r="G174" s="4">
        <v>6309</v>
      </c>
      <c r="H174" s="4">
        <v>1867464</v>
      </c>
      <c r="I174" s="4">
        <v>1039</v>
      </c>
      <c r="J174" s="4">
        <v>307544</v>
      </c>
      <c r="K174" s="4">
        <v>4572</v>
      </c>
      <c r="L174" s="4">
        <v>1353312</v>
      </c>
      <c r="M174" s="4">
        <v>698</v>
      </c>
      <c r="N174" s="4">
        <v>206608</v>
      </c>
      <c r="O174" s="3" t="s">
        <v>203</v>
      </c>
      <c r="P174" s="11"/>
      <c r="Q174" s="11"/>
      <c r="R174" s="7"/>
      <c r="S174" s="7"/>
      <c r="T174" s="7"/>
      <c r="U174" s="7"/>
      <c r="V174" s="7"/>
      <c r="W174" s="7"/>
      <c r="X174" s="22"/>
      <c r="Y174" s="7"/>
      <c r="Z174" s="7"/>
      <c r="AA174" s="7"/>
      <c r="AB174" s="9"/>
      <c r="AC174" s="9"/>
      <c r="AD174" s="24"/>
      <c r="AE174" s="24"/>
      <c r="AF174" s="24"/>
      <c r="AG174" s="24"/>
      <c r="AH174" s="24"/>
      <c r="AI174" s="24"/>
      <c r="AJ174" s="24"/>
    </row>
    <row r="175" spans="1:36" x14ac:dyDescent="0.3">
      <c r="A175" s="12" t="s">
        <v>409</v>
      </c>
      <c r="B175" s="3" t="s">
        <v>387</v>
      </c>
      <c r="C175" s="3" t="s">
        <v>318</v>
      </c>
      <c r="D175" s="3" t="s">
        <v>10</v>
      </c>
      <c r="E175" s="3">
        <v>1236</v>
      </c>
      <c r="F175" s="3" t="s">
        <v>41</v>
      </c>
      <c r="G175" s="4">
        <v>1211</v>
      </c>
      <c r="H175" s="4">
        <v>1496796</v>
      </c>
      <c r="I175" s="4">
        <v>164</v>
      </c>
      <c r="J175" s="4">
        <v>202704</v>
      </c>
      <c r="K175" s="4">
        <v>904</v>
      </c>
      <c r="L175" s="4">
        <v>1117344</v>
      </c>
      <c r="M175" s="4">
        <v>143</v>
      </c>
      <c r="N175" s="4">
        <v>176748</v>
      </c>
      <c r="O175" s="3" t="s">
        <v>204</v>
      </c>
      <c r="P175" s="11"/>
      <c r="Q175" s="11"/>
      <c r="R175" s="7"/>
      <c r="S175" s="7"/>
      <c r="T175" s="7"/>
      <c r="U175" s="7"/>
      <c r="V175" s="7"/>
      <c r="W175" s="7"/>
      <c r="X175" s="22"/>
      <c r="Y175" s="7"/>
      <c r="Z175" s="7"/>
      <c r="AA175" s="7"/>
      <c r="AB175" s="9"/>
      <c r="AC175" s="9"/>
      <c r="AD175" s="24"/>
      <c r="AE175" s="24"/>
      <c r="AF175" s="24"/>
      <c r="AG175" s="24"/>
      <c r="AH175" s="24"/>
      <c r="AI175" s="24"/>
      <c r="AJ175" s="24"/>
    </row>
    <row r="176" spans="1:36" x14ac:dyDescent="0.3">
      <c r="A176" s="12">
        <v>7</v>
      </c>
      <c r="B176" s="3" t="s">
        <v>437</v>
      </c>
      <c r="C176" s="3" t="s">
        <v>319</v>
      </c>
      <c r="D176" s="3" t="s">
        <v>10</v>
      </c>
      <c r="E176" s="3" t="s">
        <v>10</v>
      </c>
      <c r="F176" s="3" t="s">
        <v>10</v>
      </c>
      <c r="G176" s="4" t="s">
        <v>10</v>
      </c>
      <c r="H176" s="4">
        <v>22985062</v>
      </c>
      <c r="I176" s="4" t="s">
        <v>10</v>
      </c>
      <c r="J176" s="4">
        <v>6608861</v>
      </c>
      <c r="K176" s="4" t="s">
        <v>10</v>
      </c>
      <c r="L176" s="4">
        <v>7894647</v>
      </c>
      <c r="M176" s="4" t="s">
        <v>10</v>
      </c>
      <c r="N176" s="4">
        <v>8481554</v>
      </c>
      <c r="O176" s="3" t="s">
        <v>10</v>
      </c>
      <c r="P176" s="11">
        <v>46073</v>
      </c>
      <c r="Q176" s="11">
        <v>46075</v>
      </c>
      <c r="R176" s="22">
        <v>2</v>
      </c>
      <c r="S176" s="7"/>
      <c r="T176" s="7"/>
      <c r="U176" s="7"/>
      <c r="V176" s="20" t="s">
        <v>349</v>
      </c>
      <c r="W176" s="20" t="s">
        <v>354</v>
      </c>
      <c r="X176" s="22" t="s">
        <v>414</v>
      </c>
      <c r="Y176" s="19"/>
      <c r="Z176" s="7"/>
      <c r="AA176" s="7"/>
      <c r="AB176" s="9"/>
      <c r="AC176" s="9"/>
      <c r="AD176" s="24"/>
      <c r="AE176" s="24"/>
      <c r="AF176" s="24"/>
      <c r="AG176" s="24"/>
      <c r="AH176" s="24"/>
      <c r="AI176" s="24"/>
      <c r="AJ176" s="24"/>
    </row>
    <row r="177" spans="1:36" x14ac:dyDescent="0.3">
      <c r="A177" s="12" t="s">
        <v>409</v>
      </c>
      <c r="B177" s="3" t="s">
        <v>388</v>
      </c>
      <c r="C177" s="3" t="s">
        <v>320</v>
      </c>
      <c r="D177" s="3" t="s">
        <v>205</v>
      </c>
      <c r="E177" s="3">
        <v>608</v>
      </c>
      <c r="F177" s="3" t="s">
        <v>202</v>
      </c>
      <c r="G177" s="4">
        <v>1500</v>
      </c>
      <c r="H177" s="4">
        <v>912000</v>
      </c>
      <c r="I177" s="4">
        <v>1500</v>
      </c>
      <c r="J177" s="4">
        <v>912000</v>
      </c>
      <c r="K177" s="4" t="s">
        <v>10</v>
      </c>
      <c r="L177" s="4">
        <v>0</v>
      </c>
      <c r="M177" s="4" t="s">
        <v>10</v>
      </c>
      <c r="N177" s="4">
        <v>0</v>
      </c>
      <c r="O177" s="3" t="s">
        <v>206</v>
      </c>
      <c r="P177" s="7"/>
      <c r="Q177" s="7"/>
      <c r="R177" s="7"/>
      <c r="S177" s="7"/>
      <c r="T177" s="7"/>
      <c r="U177" s="7"/>
      <c r="V177" s="7"/>
      <c r="W177" s="7"/>
      <c r="X177" s="22"/>
      <c r="Y177" s="7"/>
      <c r="Z177" s="7"/>
      <c r="AA177" s="7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x14ac:dyDescent="0.3">
      <c r="A178" s="12" t="s">
        <v>409</v>
      </c>
      <c r="B178" s="3" t="s">
        <v>389</v>
      </c>
      <c r="C178" s="3" t="s">
        <v>321</v>
      </c>
      <c r="D178" s="3" t="s">
        <v>207</v>
      </c>
      <c r="E178" s="3">
        <v>608</v>
      </c>
      <c r="F178" s="3" t="s">
        <v>36</v>
      </c>
      <c r="G178" s="4">
        <v>10642</v>
      </c>
      <c r="H178" s="4">
        <v>6470336</v>
      </c>
      <c r="I178" s="4" t="s">
        <v>10</v>
      </c>
      <c r="J178" s="4">
        <v>0</v>
      </c>
      <c r="K178" s="4" t="s">
        <v>10</v>
      </c>
      <c r="L178" s="4">
        <v>0</v>
      </c>
      <c r="M178" s="4">
        <v>10642</v>
      </c>
      <c r="N178" s="4">
        <v>6470336</v>
      </c>
      <c r="O178" s="3" t="s">
        <v>208</v>
      </c>
      <c r="P178" s="7"/>
      <c r="Q178" s="7"/>
      <c r="R178" s="7"/>
      <c r="S178" s="7"/>
      <c r="T178" s="7"/>
      <c r="U178" s="7"/>
      <c r="V178" s="7"/>
      <c r="W178" s="7"/>
      <c r="X178" s="22"/>
      <c r="Y178" s="7"/>
      <c r="Z178" s="7"/>
      <c r="AA178" s="7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1:36" x14ac:dyDescent="0.3">
      <c r="A179" s="12" t="s">
        <v>409</v>
      </c>
      <c r="B179" s="3" t="s">
        <v>389</v>
      </c>
      <c r="C179" s="3" t="s">
        <v>322</v>
      </c>
      <c r="D179" s="3" t="s">
        <v>209</v>
      </c>
      <c r="E179" s="3">
        <v>28</v>
      </c>
      <c r="F179" s="3" t="s">
        <v>36</v>
      </c>
      <c r="G179" s="4">
        <v>831</v>
      </c>
      <c r="H179" s="4">
        <v>23268</v>
      </c>
      <c r="I179" s="4">
        <v>792</v>
      </c>
      <c r="J179" s="4">
        <v>22176</v>
      </c>
      <c r="K179" s="4">
        <v>39</v>
      </c>
      <c r="L179" s="4">
        <v>1092</v>
      </c>
      <c r="M179" s="4" t="s">
        <v>10</v>
      </c>
      <c r="N179" s="4">
        <v>0</v>
      </c>
      <c r="O179" s="3" t="s">
        <v>210</v>
      </c>
      <c r="P179" s="7"/>
      <c r="Q179" s="7"/>
      <c r="R179" s="7"/>
      <c r="S179" s="7"/>
      <c r="T179" s="7"/>
      <c r="U179" s="7"/>
      <c r="V179" s="7"/>
      <c r="W179" s="7"/>
      <c r="X179" s="22"/>
      <c r="Y179" s="7"/>
      <c r="Z179" s="7"/>
      <c r="AA179" s="7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x14ac:dyDescent="0.3">
      <c r="A180" s="12" t="s">
        <v>409</v>
      </c>
      <c r="B180" s="3" t="s">
        <v>389</v>
      </c>
      <c r="C180" s="3" t="s">
        <v>323</v>
      </c>
      <c r="D180" s="3" t="s">
        <v>211</v>
      </c>
      <c r="E180" s="3">
        <v>3</v>
      </c>
      <c r="F180" s="3" t="s">
        <v>69</v>
      </c>
      <c r="G180" s="4">
        <v>5717</v>
      </c>
      <c r="H180" s="4">
        <v>17151</v>
      </c>
      <c r="I180" s="4">
        <v>5453</v>
      </c>
      <c r="J180" s="4">
        <v>16359</v>
      </c>
      <c r="K180" s="4">
        <v>264</v>
      </c>
      <c r="L180" s="4">
        <v>792</v>
      </c>
      <c r="M180" s="4" t="s">
        <v>10</v>
      </c>
      <c r="N180" s="4">
        <v>0</v>
      </c>
      <c r="O180" s="3" t="s">
        <v>168</v>
      </c>
      <c r="P180" s="7"/>
      <c r="Q180" s="7"/>
      <c r="R180" s="7"/>
      <c r="S180" s="7"/>
      <c r="T180" s="7"/>
      <c r="U180" s="7"/>
      <c r="V180" s="7"/>
      <c r="W180" s="7"/>
      <c r="X180" s="22"/>
      <c r="Y180" s="7"/>
      <c r="Z180" s="7"/>
      <c r="AA180" s="7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1:36" x14ac:dyDescent="0.3">
      <c r="A181" s="12" t="s">
        <v>409</v>
      </c>
      <c r="B181" s="3" t="s">
        <v>389</v>
      </c>
      <c r="C181" s="3" t="s">
        <v>324</v>
      </c>
      <c r="D181" s="3" t="s">
        <v>212</v>
      </c>
      <c r="E181" s="3">
        <v>37</v>
      </c>
      <c r="F181" s="3" t="s">
        <v>36</v>
      </c>
      <c r="G181" s="4">
        <v>4625</v>
      </c>
      <c r="H181" s="4">
        <v>171125</v>
      </c>
      <c r="I181" s="4">
        <v>2625</v>
      </c>
      <c r="J181" s="4">
        <v>97125</v>
      </c>
      <c r="K181" s="4">
        <v>1942</v>
      </c>
      <c r="L181" s="4">
        <v>71854</v>
      </c>
      <c r="M181" s="4">
        <v>58</v>
      </c>
      <c r="N181" s="4">
        <v>2146</v>
      </c>
      <c r="O181" s="3" t="s">
        <v>213</v>
      </c>
      <c r="P181" s="7"/>
      <c r="Q181" s="7"/>
      <c r="R181" s="7"/>
      <c r="S181" s="7"/>
      <c r="T181" s="7"/>
      <c r="U181" s="7"/>
      <c r="V181" s="7"/>
      <c r="W181" s="7"/>
      <c r="X181" s="22"/>
      <c r="Y181" s="7"/>
      <c r="Z181" s="7"/>
      <c r="AA181" s="7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x14ac:dyDescent="0.3">
      <c r="A182" s="12" t="s">
        <v>409</v>
      </c>
      <c r="B182" s="3" t="s">
        <v>389</v>
      </c>
      <c r="C182" s="3" t="s">
        <v>325</v>
      </c>
      <c r="D182" s="3" t="s">
        <v>212</v>
      </c>
      <c r="E182" s="3">
        <v>78</v>
      </c>
      <c r="F182" s="3" t="s">
        <v>69</v>
      </c>
      <c r="G182" s="4">
        <v>2030</v>
      </c>
      <c r="H182" s="4">
        <v>158340</v>
      </c>
      <c r="I182" s="4">
        <v>1869</v>
      </c>
      <c r="J182" s="4">
        <v>145782</v>
      </c>
      <c r="K182" s="4">
        <v>161</v>
      </c>
      <c r="L182" s="4">
        <v>12558</v>
      </c>
      <c r="M182" s="4" t="s">
        <v>10</v>
      </c>
      <c r="N182" s="4">
        <v>0</v>
      </c>
      <c r="O182" s="3" t="s">
        <v>214</v>
      </c>
      <c r="P182" s="7"/>
      <c r="Q182" s="7"/>
      <c r="R182" s="7"/>
      <c r="S182" s="7"/>
      <c r="T182" s="7"/>
      <c r="U182" s="7"/>
      <c r="V182" s="7"/>
      <c r="W182" s="7"/>
      <c r="X182" s="22"/>
      <c r="Y182" s="7"/>
      <c r="Z182" s="7"/>
      <c r="AA182" s="7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1:36" x14ac:dyDescent="0.3">
      <c r="A183" s="12" t="s">
        <v>409</v>
      </c>
      <c r="B183" s="3" t="s">
        <v>389</v>
      </c>
      <c r="C183" s="3" t="s">
        <v>326</v>
      </c>
      <c r="D183" s="3" t="s">
        <v>215</v>
      </c>
      <c r="E183" s="3">
        <v>148.6</v>
      </c>
      <c r="F183" s="3" t="s">
        <v>69</v>
      </c>
      <c r="G183" s="4">
        <v>101886</v>
      </c>
      <c r="H183" s="4">
        <v>15140260</v>
      </c>
      <c r="I183" s="4">
        <v>36121</v>
      </c>
      <c r="J183" s="4">
        <v>5367581</v>
      </c>
      <c r="K183" s="4">
        <v>52245</v>
      </c>
      <c r="L183" s="4">
        <v>7763607</v>
      </c>
      <c r="M183" s="4">
        <v>13520</v>
      </c>
      <c r="N183" s="4">
        <v>2009072</v>
      </c>
      <c r="O183" s="3" t="s">
        <v>216</v>
      </c>
      <c r="P183" s="7"/>
      <c r="Q183" s="7"/>
      <c r="R183" s="7"/>
      <c r="S183" s="7"/>
      <c r="T183" s="7"/>
      <c r="U183" s="7"/>
      <c r="V183" s="7"/>
      <c r="W183" s="7"/>
      <c r="X183" s="22"/>
      <c r="Y183" s="7"/>
      <c r="Z183" s="7"/>
      <c r="AA183" s="7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x14ac:dyDescent="0.3">
      <c r="A184" s="12" t="s">
        <v>409</v>
      </c>
      <c r="B184" s="3" t="s">
        <v>389</v>
      </c>
      <c r="C184" s="3" t="s">
        <v>327</v>
      </c>
      <c r="D184" s="3" t="s">
        <v>217</v>
      </c>
      <c r="E184" s="3">
        <v>34</v>
      </c>
      <c r="F184" s="3" t="s">
        <v>14</v>
      </c>
      <c r="G184" s="4">
        <v>2723</v>
      </c>
      <c r="H184" s="4">
        <v>92582</v>
      </c>
      <c r="I184" s="4">
        <v>1407</v>
      </c>
      <c r="J184" s="4">
        <v>47838</v>
      </c>
      <c r="K184" s="4">
        <v>1316</v>
      </c>
      <c r="L184" s="4">
        <v>44744</v>
      </c>
      <c r="M184" s="4" t="s">
        <v>10</v>
      </c>
      <c r="N184" s="4">
        <v>0</v>
      </c>
      <c r="O184" s="3" t="s">
        <v>218</v>
      </c>
      <c r="P184" s="7"/>
      <c r="Q184" s="7"/>
      <c r="R184" s="7"/>
      <c r="S184" s="7"/>
      <c r="T184" s="7"/>
      <c r="U184" s="7"/>
      <c r="V184" s="7"/>
      <c r="W184" s="7"/>
      <c r="X184" s="22"/>
      <c r="Y184" s="7"/>
      <c r="Z184" s="7"/>
      <c r="AA184" s="7"/>
      <c r="AB184" s="9"/>
      <c r="AC184" s="9"/>
      <c r="AD184" s="9"/>
      <c r="AE184" s="9"/>
      <c r="AF184" s="9"/>
      <c r="AG184" s="9"/>
      <c r="AH184" s="9"/>
      <c r="AI184" s="9"/>
      <c r="AJ184" s="9"/>
    </row>
  </sheetData>
  <autoFilter ref="A8:AJ184" xr:uid="{970C4AEB-CD4F-4183-9533-10412DD4C158}"/>
  <mergeCells count="25">
    <mergeCell ref="A3:O4"/>
    <mergeCell ref="AD6:AJ6"/>
    <mergeCell ref="P3:AA4"/>
    <mergeCell ref="AB3:AJ4"/>
    <mergeCell ref="V5:AA5"/>
    <mergeCell ref="AD5:AJ5"/>
    <mergeCell ref="A6:A7"/>
    <mergeCell ref="P6:R6"/>
    <mergeCell ref="S6:U6"/>
    <mergeCell ref="P5:U5"/>
    <mergeCell ref="AB5:AC5"/>
    <mergeCell ref="V6:X6"/>
    <mergeCell ref="AB6:AC6"/>
    <mergeCell ref="Y6:AA6"/>
    <mergeCell ref="O6:O7"/>
    <mergeCell ref="B5:O5"/>
    <mergeCell ref="B6:B7"/>
    <mergeCell ref="G6:H6"/>
    <mergeCell ref="I6:J6"/>
    <mergeCell ref="K6:L6"/>
    <mergeCell ref="M6:N6"/>
    <mergeCell ref="E6:E7"/>
    <mergeCell ref="F6:F7"/>
    <mergeCell ref="D6:D7"/>
    <mergeCell ref="C6:C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설계 BIM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cp:lastPrinted>2026-01-07T07:52:54Z</cp:lastPrinted>
  <dcterms:created xsi:type="dcterms:W3CDTF">2026-01-07T06:19:44Z</dcterms:created>
  <dcterms:modified xsi:type="dcterms:W3CDTF">2026-03-26T01:17:14Z</dcterms:modified>
</cp:coreProperties>
</file>